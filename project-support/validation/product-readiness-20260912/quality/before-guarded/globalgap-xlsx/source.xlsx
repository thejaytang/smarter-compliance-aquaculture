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dnv-my.sharepoint.com/personal/thomas_vavik_bekken_dnv_com/Documents/DNV/OPPLÆRING/GLOBALGAP/Requalification_24/MALER/Sjekklister/"/>
    </mc:Choice>
  </mc:AlternateContent>
  <xr:revisionPtr revIDLastSave="2" documentId="13_ncr:1_{075AEBF6-E9BB-4184-A90A-EE9DA05B4398}" xr6:coauthVersionLast="47" xr6:coauthVersionMax="47" xr10:uidLastSave="{22111D56-B56F-48A8-B088-84F35C95EA15}"/>
  <bookViews>
    <workbookView xWindow="28680" yWindow="-120" windowWidth="51840" windowHeight="21120" activeTab="2" xr2:uid="{00000000-000D-0000-FFFF-FFFF00000000}"/>
  </bookViews>
  <sheets>
    <sheet name="Audit_Info" sheetId="1" r:id="rId1"/>
    <sheet name="Audit scope_Info" sheetId="8" r:id="rId2"/>
    <sheet name="CL - IFA v6 Smart - AQ" sheetId="4" r:id="rId3"/>
    <sheet name="Audit Result" sheetId="5" r:id="rId4"/>
    <sheet name="IFA Inspection Guideline" sheetId="6" r:id="rId5"/>
    <sheet name="Info _ Workers welfare P&amp;Cs" sheetId="9" r:id="rId6"/>
  </sheets>
  <definedNames>
    <definedName name="_xlnm._FilterDatabase" localSheetId="3" hidden="1">'Audit Result'!$A$5:$K$5</definedName>
    <definedName name="_xlnm._FilterDatabase" localSheetId="2" hidden="1">'CL - IFA v6 Smart - AQ'!$A$9:$R$266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4" i="5" l="1"/>
  <c r="B283" i="5"/>
  <c r="B282" i="5"/>
  <c r="B278" i="5"/>
  <c r="B277" i="5"/>
  <c r="B276" i="5"/>
  <c r="E262" i="5"/>
  <c r="D262" i="5"/>
  <c r="B262" i="5"/>
  <c r="A262" i="5"/>
  <c r="E261" i="5"/>
  <c r="D261" i="5"/>
  <c r="B261" i="5"/>
  <c r="A261" i="5"/>
  <c r="E260" i="5"/>
  <c r="D260" i="5"/>
  <c r="B260" i="5"/>
  <c r="A260" i="5"/>
  <c r="E259" i="5"/>
  <c r="D259" i="5"/>
  <c r="B259" i="5"/>
  <c r="A259" i="5"/>
  <c r="E258" i="5"/>
  <c r="D258" i="5"/>
  <c r="B258" i="5"/>
  <c r="A258" i="5"/>
  <c r="E257" i="5"/>
  <c r="D257" i="5"/>
  <c r="B257" i="5"/>
  <c r="A257" i="5"/>
  <c r="E256" i="5"/>
  <c r="D256" i="5"/>
  <c r="B256" i="5"/>
  <c r="A256" i="5"/>
  <c r="E255" i="5"/>
  <c r="D255" i="5"/>
  <c r="B255" i="5"/>
  <c r="A255" i="5"/>
  <c r="E254" i="5"/>
  <c r="D254" i="5"/>
  <c r="B254" i="5"/>
  <c r="A254" i="5"/>
  <c r="E253" i="5"/>
  <c r="D253" i="5"/>
  <c r="B253" i="5"/>
  <c r="A253" i="5"/>
  <c r="E252" i="5"/>
  <c r="D252" i="5"/>
  <c r="B252" i="5"/>
  <c r="A252" i="5"/>
  <c r="E251" i="5"/>
  <c r="D251" i="5"/>
  <c r="B251" i="5"/>
  <c r="A251" i="5"/>
  <c r="E250" i="5"/>
  <c r="D250" i="5"/>
  <c r="B250" i="5"/>
  <c r="A250" i="5"/>
  <c r="E249" i="5"/>
  <c r="D249" i="5"/>
  <c r="B249" i="5"/>
  <c r="A249" i="5"/>
  <c r="E248" i="5"/>
  <c r="D248" i="5"/>
  <c r="B248" i="5"/>
  <c r="A248" i="5"/>
  <c r="E247" i="5"/>
  <c r="D247" i="5"/>
  <c r="B247" i="5"/>
  <c r="A247" i="5"/>
  <c r="E246" i="5"/>
  <c r="D246" i="5"/>
  <c r="B246" i="5"/>
  <c r="A246" i="5"/>
  <c r="E245" i="5"/>
  <c r="D245" i="5"/>
  <c r="B245" i="5"/>
  <c r="A245" i="5"/>
  <c r="E244" i="5"/>
  <c r="D244" i="5"/>
  <c r="B244" i="5"/>
  <c r="A244" i="5"/>
  <c r="E243" i="5"/>
  <c r="D243" i="5"/>
  <c r="B243" i="5"/>
  <c r="A243" i="5"/>
  <c r="E242" i="5"/>
  <c r="D242" i="5"/>
  <c r="B242" i="5"/>
  <c r="A242" i="5"/>
  <c r="E241" i="5"/>
  <c r="D241" i="5"/>
  <c r="B241" i="5"/>
  <c r="A241" i="5"/>
  <c r="E240" i="5"/>
  <c r="D240" i="5"/>
  <c r="B240" i="5"/>
  <c r="A240" i="5"/>
  <c r="E239" i="5"/>
  <c r="D239" i="5"/>
  <c r="B239" i="5"/>
  <c r="A239" i="5"/>
  <c r="E238" i="5"/>
  <c r="D238" i="5"/>
  <c r="B238" i="5"/>
  <c r="A238" i="5"/>
  <c r="E237" i="5"/>
  <c r="D237" i="5"/>
  <c r="B237" i="5"/>
  <c r="A237" i="5"/>
  <c r="E236" i="5"/>
  <c r="D236" i="5"/>
  <c r="B236" i="5"/>
  <c r="A236" i="5"/>
  <c r="E235" i="5"/>
  <c r="D235" i="5"/>
  <c r="B235" i="5"/>
  <c r="A235" i="5"/>
  <c r="E234" i="5"/>
  <c r="D234" i="5"/>
  <c r="B234" i="5"/>
  <c r="A234" i="5"/>
  <c r="E233" i="5"/>
  <c r="D233" i="5"/>
  <c r="B233" i="5"/>
  <c r="A233" i="5"/>
  <c r="E232" i="5"/>
  <c r="D232" i="5"/>
  <c r="B232" i="5"/>
  <c r="A232" i="5"/>
  <c r="E231" i="5"/>
  <c r="D231" i="5"/>
  <c r="B231" i="5"/>
  <c r="A231" i="5"/>
  <c r="E230" i="5"/>
  <c r="D230" i="5"/>
  <c r="B230" i="5"/>
  <c r="A230" i="5"/>
  <c r="E229" i="5"/>
  <c r="D229" i="5"/>
  <c r="B229" i="5"/>
  <c r="A229" i="5"/>
  <c r="E228" i="5"/>
  <c r="D228" i="5"/>
  <c r="B228" i="5"/>
  <c r="A228" i="5"/>
  <c r="E227" i="5"/>
  <c r="D227" i="5"/>
  <c r="B227" i="5"/>
  <c r="A227" i="5"/>
  <c r="E226" i="5"/>
  <c r="D226" i="5"/>
  <c r="B226" i="5"/>
  <c r="A226" i="5"/>
  <c r="E225" i="5"/>
  <c r="D225" i="5"/>
  <c r="B225" i="5"/>
  <c r="A225" i="5"/>
  <c r="E224" i="5"/>
  <c r="D224" i="5"/>
  <c r="B224" i="5"/>
  <c r="A224" i="5"/>
  <c r="E223" i="5"/>
  <c r="D223" i="5"/>
  <c r="B223" i="5"/>
  <c r="A223" i="5"/>
  <c r="E222" i="5"/>
  <c r="D222" i="5"/>
  <c r="B222" i="5"/>
  <c r="A222" i="5"/>
  <c r="E221" i="5"/>
  <c r="D221" i="5"/>
  <c r="B221" i="5"/>
  <c r="A221" i="5"/>
  <c r="E220" i="5"/>
  <c r="D220" i="5"/>
  <c r="B220" i="5"/>
  <c r="A220" i="5"/>
  <c r="E219" i="5"/>
  <c r="D219" i="5"/>
  <c r="B219" i="5"/>
  <c r="A219" i="5"/>
  <c r="E218" i="5"/>
  <c r="D218" i="5"/>
  <c r="B218" i="5"/>
  <c r="A218" i="5"/>
  <c r="E217" i="5"/>
  <c r="D217" i="5"/>
  <c r="B217" i="5"/>
  <c r="A217" i="5"/>
  <c r="E216" i="5"/>
  <c r="D216" i="5"/>
  <c r="B216" i="5"/>
  <c r="A216" i="5"/>
  <c r="E215" i="5"/>
  <c r="D215" i="5"/>
  <c r="B215" i="5"/>
  <c r="A215" i="5"/>
  <c r="E214" i="5"/>
  <c r="D214" i="5"/>
  <c r="B214" i="5"/>
  <c r="A214" i="5"/>
  <c r="E213" i="5"/>
  <c r="D213" i="5"/>
  <c r="B213" i="5"/>
  <c r="A213" i="5"/>
  <c r="E212" i="5"/>
  <c r="D212" i="5"/>
  <c r="B212" i="5"/>
  <c r="A212" i="5"/>
  <c r="E211" i="5"/>
  <c r="D211" i="5"/>
  <c r="B211" i="5"/>
  <c r="A211" i="5"/>
  <c r="E210" i="5"/>
  <c r="D210" i="5"/>
  <c r="B210" i="5"/>
  <c r="A210" i="5"/>
  <c r="E209" i="5"/>
  <c r="D209" i="5"/>
  <c r="B209" i="5"/>
  <c r="A209" i="5"/>
  <c r="E208" i="5"/>
  <c r="D208" i="5"/>
  <c r="B208" i="5"/>
  <c r="A208" i="5"/>
  <c r="E207" i="5"/>
  <c r="D207" i="5"/>
  <c r="B207" i="5"/>
  <c r="A207" i="5"/>
  <c r="E206" i="5"/>
  <c r="D206" i="5"/>
  <c r="B206" i="5"/>
  <c r="A206" i="5"/>
  <c r="E205" i="5"/>
  <c r="D205" i="5"/>
  <c r="B205" i="5"/>
  <c r="A205" i="5"/>
  <c r="E204" i="5"/>
  <c r="D204" i="5"/>
  <c r="B204" i="5"/>
  <c r="A204" i="5"/>
  <c r="E203" i="5"/>
  <c r="D203" i="5"/>
  <c r="B203" i="5"/>
  <c r="A203" i="5"/>
  <c r="E202" i="5"/>
  <c r="D202" i="5"/>
  <c r="B202" i="5"/>
  <c r="A202" i="5"/>
  <c r="E201" i="5"/>
  <c r="D201" i="5"/>
  <c r="B201" i="5"/>
  <c r="A201" i="5"/>
  <c r="E200" i="5"/>
  <c r="D200" i="5"/>
  <c r="B200" i="5"/>
  <c r="A200" i="5"/>
  <c r="E199" i="5"/>
  <c r="D199" i="5"/>
  <c r="B199" i="5"/>
  <c r="A199" i="5"/>
  <c r="E198" i="5"/>
  <c r="D198" i="5"/>
  <c r="B198" i="5"/>
  <c r="A198" i="5"/>
  <c r="E197" i="5"/>
  <c r="D197" i="5"/>
  <c r="B197" i="5"/>
  <c r="A197" i="5"/>
  <c r="E196" i="5"/>
  <c r="D196" i="5"/>
  <c r="B196" i="5"/>
  <c r="A196" i="5"/>
  <c r="E195" i="5"/>
  <c r="D195" i="5"/>
  <c r="B195" i="5"/>
  <c r="A195" i="5"/>
  <c r="E194" i="5"/>
  <c r="D194" i="5"/>
  <c r="B194" i="5"/>
  <c r="A194" i="5"/>
  <c r="E193" i="5"/>
  <c r="D193" i="5"/>
  <c r="B193" i="5"/>
  <c r="A193" i="5"/>
  <c r="E192" i="5"/>
  <c r="D192" i="5"/>
  <c r="B192" i="5"/>
  <c r="A192" i="5"/>
  <c r="E191" i="5"/>
  <c r="D191" i="5"/>
  <c r="B191" i="5"/>
  <c r="A191" i="5"/>
  <c r="E190" i="5"/>
  <c r="D190" i="5"/>
  <c r="B190" i="5"/>
  <c r="A190" i="5"/>
  <c r="E189" i="5"/>
  <c r="D189" i="5"/>
  <c r="B189" i="5"/>
  <c r="A189" i="5"/>
  <c r="E188" i="5"/>
  <c r="D188" i="5"/>
  <c r="B188" i="5"/>
  <c r="A188" i="5"/>
  <c r="E187" i="5"/>
  <c r="D187" i="5"/>
  <c r="B187" i="5"/>
  <c r="A187" i="5"/>
  <c r="E186" i="5"/>
  <c r="D186" i="5"/>
  <c r="B186" i="5"/>
  <c r="A186" i="5"/>
  <c r="E185" i="5"/>
  <c r="D185" i="5"/>
  <c r="B185" i="5"/>
  <c r="A185" i="5"/>
  <c r="E184" i="5"/>
  <c r="D184" i="5"/>
  <c r="B184" i="5"/>
  <c r="A184" i="5"/>
  <c r="E183" i="5"/>
  <c r="D183" i="5"/>
  <c r="B183" i="5"/>
  <c r="A183" i="5"/>
  <c r="E182" i="5"/>
  <c r="D182" i="5"/>
  <c r="B182" i="5"/>
  <c r="A182" i="5"/>
  <c r="E181" i="5"/>
  <c r="D181" i="5"/>
  <c r="B181" i="5"/>
  <c r="A181" i="5"/>
  <c r="E180" i="5"/>
  <c r="D180" i="5"/>
  <c r="B180" i="5"/>
  <c r="A180" i="5"/>
  <c r="E179" i="5"/>
  <c r="D179" i="5"/>
  <c r="B179" i="5"/>
  <c r="A179" i="5"/>
  <c r="E178" i="5"/>
  <c r="D178" i="5"/>
  <c r="B178" i="5"/>
  <c r="A178" i="5"/>
  <c r="E177" i="5"/>
  <c r="D177" i="5"/>
  <c r="B177" i="5"/>
  <c r="A177" i="5"/>
  <c r="E176" i="5"/>
  <c r="D176" i="5"/>
  <c r="B176" i="5"/>
  <c r="A176" i="5"/>
  <c r="E175" i="5"/>
  <c r="D175" i="5"/>
  <c r="B175" i="5"/>
  <c r="A175" i="5"/>
  <c r="E174" i="5"/>
  <c r="D174" i="5"/>
  <c r="B174" i="5"/>
  <c r="A174" i="5"/>
  <c r="E173" i="5"/>
  <c r="D173" i="5"/>
  <c r="B173" i="5"/>
  <c r="A173" i="5"/>
  <c r="E172" i="5"/>
  <c r="D172" i="5"/>
  <c r="B172" i="5"/>
  <c r="A172" i="5"/>
  <c r="E171" i="5"/>
  <c r="D171" i="5"/>
  <c r="B171" i="5"/>
  <c r="A171" i="5"/>
  <c r="E170" i="5"/>
  <c r="D170" i="5"/>
  <c r="B170" i="5"/>
  <c r="A170" i="5"/>
  <c r="E169" i="5"/>
  <c r="D169" i="5"/>
  <c r="B169" i="5"/>
  <c r="A169" i="5"/>
  <c r="E168" i="5"/>
  <c r="D168" i="5"/>
  <c r="B168" i="5"/>
  <c r="A168" i="5"/>
  <c r="E167" i="5"/>
  <c r="D167" i="5"/>
  <c r="B167" i="5"/>
  <c r="A167" i="5"/>
  <c r="E166" i="5"/>
  <c r="D166" i="5"/>
  <c r="B166" i="5"/>
  <c r="A166" i="5"/>
  <c r="E165" i="5"/>
  <c r="D165" i="5"/>
  <c r="B165" i="5"/>
  <c r="A165" i="5"/>
  <c r="E164" i="5"/>
  <c r="D164" i="5"/>
  <c r="B164" i="5"/>
  <c r="A164" i="5"/>
  <c r="E163" i="5"/>
  <c r="D163" i="5"/>
  <c r="B163" i="5"/>
  <c r="A163" i="5"/>
  <c r="E162" i="5"/>
  <c r="D162" i="5"/>
  <c r="B162" i="5"/>
  <c r="A162" i="5"/>
  <c r="E161" i="5"/>
  <c r="D161" i="5"/>
  <c r="B161" i="5"/>
  <c r="A161" i="5"/>
  <c r="E160" i="5"/>
  <c r="D160" i="5"/>
  <c r="B160" i="5"/>
  <c r="A160" i="5"/>
  <c r="E159" i="5"/>
  <c r="D159" i="5"/>
  <c r="B159" i="5"/>
  <c r="A159" i="5"/>
  <c r="E158" i="5"/>
  <c r="D158" i="5"/>
  <c r="B158" i="5"/>
  <c r="A158" i="5"/>
  <c r="E157" i="5"/>
  <c r="D157" i="5"/>
  <c r="B157" i="5"/>
  <c r="A157" i="5"/>
  <c r="E156" i="5"/>
  <c r="D156" i="5"/>
  <c r="B156" i="5"/>
  <c r="A156" i="5"/>
  <c r="E155" i="5"/>
  <c r="D155" i="5"/>
  <c r="B155" i="5"/>
  <c r="A155" i="5"/>
  <c r="E154" i="5"/>
  <c r="D154" i="5"/>
  <c r="B154" i="5"/>
  <c r="A154" i="5"/>
  <c r="E153" i="5"/>
  <c r="D153" i="5"/>
  <c r="B153" i="5"/>
  <c r="A153" i="5"/>
  <c r="E152" i="5"/>
  <c r="D152" i="5"/>
  <c r="B152" i="5"/>
  <c r="A152" i="5"/>
  <c r="E151" i="5"/>
  <c r="D151" i="5"/>
  <c r="B151" i="5"/>
  <c r="A151" i="5"/>
  <c r="E150" i="5"/>
  <c r="D150" i="5"/>
  <c r="B150" i="5"/>
  <c r="A150" i="5"/>
  <c r="E149" i="5"/>
  <c r="D149" i="5"/>
  <c r="B149" i="5"/>
  <c r="A149" i="5"/>
  <c r="E148" i="5"/>
  <c r="D148" i="5"/>
  <c r="B148" i="5"/>
  <c r="A148" i="5"/>
  <c r="E147" i="5"/>
  <c r="D147" i="5"/>
  <c r="B147" i="5"/>
  <c r="A147" i="5"/>
  <c r="E146" i="5"/>
  <c r="D146" i="5"/>
  <c r="B146" i="5"/>
  <c r="A146" i="5"/>
  <c r="E145" i="5"/>
  <c r="D145" i="5"/>
  <c r="B145" i="5"/>
  <c r="A145" i="5"/>
  <c r="E144" i="5"/>
  <c r="D144" i="5"/>
  <c r="B144" i="5"/>
  <c r="A144" i="5"/>
  <c r="E143" i="5"/>
  <c r="D143" i="5"/>
  <c r="B143" i="5"/>
  <c r="A143" i="5"/>
  <c r="E142" i="5"/>
  <c r="D142" i="5"/>
  <c r="B142" i="5"/>
  <c r="A142" i="5"/>
  <c r="E141" i="5"/>
  <c r="D141" i="5"/>
  <c r="B141" i="5"/>
  <c r="A141" i="5"/>
  <c r="E140" i="5"/>
  <c r="D140" i="5"/>
  <c r="B140" i="5"/>
  <c r="A140" i="5"/>
  <c r="E139" i="5"/>
  <c r="D139" i="5"/>
  <c r="B139" i="5"/>
  <c r="A139" i="5"/>
  <c r="E138" i="5"/>
  <c r="D138" i="5"/>
  <c r="B138" i="5"/>
  <c r="A138" i="5"/>
  <c r="E137" i="5"/>
  <c r="D137" i="5"/>
  <c r="B137" i="5"/>
  <c r="A137" i="5"/>
  <c r="E136" i="5"/>
  <c r="D136" i="5"/>
  <c r="B136" i="5"/>
  <c r="A136" i="5"/>
  <c r="E135" i="5"/>
  <c r="D135" i="5"/>
  <c r="B135" i="5"/>
  <c r="A135" i="5"/>
  <c r="E134" i="5"/>
  <c r="D134" i="5"/>
  <c r="B134" i="5"/>
  <c r="A134" i="5"/>
  <c r="E133" i="5"/>
  <c r="D133" i="5"/>
  <c r="B133" i="5"/>
  <c r="A133" i="5"/>
  <c r="E132" i="5"/>
  <c r="D132" i="5"/>
  <c r="B132" i="5"/>
  <c r="A132" i="5"/>
  <c r="E131" i="5"/>
  <c r="D131" i="5"/>
  <c r="B131" i="5"/>
  <c r="A131" i="5"/>
  <c r="E130" i="5"/>
  <c r="D130" i="5"/>
  <c r="B130" i="5"/>
  <c r="A130" i="5"/>
  <c r="E129" i="5"/>
  <c r="D129" i="5"/>
  <c r="B129" i="5"/>
  <c r="A129" i="5"/>
  <c r="E128" i="5"/>
  <c r="D128" i="5"/>
  <c r="B128" i="5"/>
  <c r="A128" i="5"/>
  <c r="E127" i="5"/>
  <c r="D127" i="5"/>
  <c r="B127" i="5"/>
  <c r="A127" i="5"/>
  <c r="E126" i="5"/>
  <c r="D126" i="5"/>
  <c r="B126" i="5"/>
  <c r="A126" i="5"/>
  <c r="E125" i="5"/>
  <c r="D125" i="5"/>
  <c r="B125" i="5"/>
  <c r="A125" i="5"/>
  <c r="E124" i="5"/>
  <c r="D124" i="5"/>
  <c r="B124" i="5"/>
  <c r="A124" i="5"/>
  <c r="E123" i="5"/>
  <c r="D123" i="5"/>
  <c r="B123" i="5"/>
  <c r="A123" i="5"/>
  <c r="E122" i="5"/>
  <c r="D122" i="5"/>
  <c r="B122" i="5"/>
  <c r="A122" i="5"/>
  <c r="E121" i="5"/>
  <c r="D121" i="5"/>
  <c r="B121" i="5"/>
  <c r="A121" i="5"/>
  <c r="E120" i="5"/>
  <c r="D120" i="5"/>
  <c r="B120" i="5"/>
  <c r="A120" i="5"/>
  <c r="E119" i="5"/>
  <c r="D119" i="5"/>
  <c r="B119" i="5"/>
  <c r="A119" i="5"/>
  <c r="E118" i="5"/>
  <c r="D118" i="5"/>
  <c r="B118" i="5"/>
  <c r="A118" i="5"/>
  <c r="E117" i="5"/>
  <c r="D117" i="5"/>
  <c r="B117" i="5"/>
  <c r="A117" i="5"/>
  <c r="E116" i="5"/>
  <c r="D116" i="5"/>
  <c r="B116" i="5"/>
  <c r="A116" i="5"/>
  <c r="E115" i="5"/>
  <c r="D115" i="5"/>
  <c r="B115" i="5"/>
  <c r="A115" i="5"/>
  <c r="E114" i="5"/>
  <c r="D114" i="5"/>
  <c r="B114" i="5"/>
  <c r="A114" i="5"/>
  <c r="E113" i="5"/>
  <c r="D113" i="5"/>
  <c r="B113" i="5"/>
  <c r="A113" i="5"/>
  <c r="E112" i="5"/>
  <c r="D112" i="5"/>
  <c r="B112" i="5"/>
  <c r="A112" i="5"/>
  <c r="E111" i="5"/>
  <c r="D111" i="5"/>
  <c r="B111" i="5"/>
  <c r="A111" i="5"/>
  <c r="E110" i="5"/>
  <c r="D110" i="5"/>
  <c r="B110" i="5"/>
  <c r="A110" i="5"/>
  <c r="E109" i="5"/>
  <c r="D109" i="5"/>
  <c r="B109" i="5"/>
  <c r="A109" i="5"/>
  <c r="E108" i="5"/>
  <c r="D108" i="5"/>
  <c r="B108" i="5"/>
  <c r="A108" i="5"/>
  <c r="E107" i="5"/>
  <c r="D107" i="5"/>
  <c r="B107" i="5"/>
  <c r="A107" i="5"/>
  <c r="E106" i="5"/>
  <c r="D106" i="5"/>
  <c r="B106" i="5"/>
  <c r="A106" i="5"/>
  <c r="E105" i="5"/>
  <c r="D105" i="5"/>
  <c r="B105" i="5"/>
  <c r="A105" i="5"/>
  <c r="E104" i="5"/>
  <c r="D104" i="5"/>
  <c r="B104" i="5"/>
  <c r="A104" i="5"/>
  <c r="E103" i="5"/>
  <c r="D103" i="5"/>
  <c r="B103" i="5"/>
  <c r="A103" i="5"/>
  <c r="E102" i="5"/>
  <c r="D102" i="5"/>
  <c r="B102" i="5"/>
  <c r="A102" i="5"/>
  <c r="E101" i="5"/>
  <c r="D101" i="5"/>
  <c r="B101" i="5"/>
  <c r="A101" i="5"/>
  <c r="E100" i="5"/>
  <c r="D100" i="5"/>
  <c r="B100" i="5"/>
  <c r="A100" i="5"/>
  <c r="E99" i="5"/>
  <c r="D99" i="5"/>
  <c r="B99" i="5"/>
  <c r="A99" i="5"/>
  <c r="E98" i="5"/>
  <c r="D98" i="5"/>
  <c r="B98" i="5"/>
  <c r="A98" i="5"/>
  <c r="E97" i="5"/>
  <c r="D97" i="5"/>
  <c r="B97" i="5"/>
  <c r="A97" i="5"/>
  <c r="E96" i="5"/>
  <c r="D96" i="5"/>
  <c r="B96" i="5"/>
  <c r="A96" i="5"/>
  <c r="E95" i="5"/>
  <c r="D95" i="5"/>
  <c r="B95" i="5"/>
  <c r="A95" i="5"/>
  <c r="E94" i="5"/>
  <c r="D94" i="5"/>
  <c r="B94" i="5"/>
  <c r="A94" i="5"/>
  <c r="E93" i="5"/>
  <c r="D93" i="5"/>
  <c r="B93" i="5"/>
  <c r="A93" i="5"/>
  <c r="E92" i="5"/>
  <c r="D92" i="5"/>
  <c r="B92" i="5"/>
  <c r="A92" i="5"/>
  <c r="E91" i="5"/>
  <c r="D91" i="5"/>
  <c r="B91" i="5"/>
  <c r="A91" i="5"/>
  <c r="E90" i="5"/>
  <c r="D90" i="5"/>
  <c r="B90" i="5"/>
  <c r="A90" i="5"/>
  <c r="E89" i="5"/>
  <c r="D89" i="5"/>
  <c r="B89" i="5"/>
  <c r="A89" i="5"/>
  <c r="E88" i="5"/>
  <c r="D88" i="5"/>
  <c r="B88" i="5"/>
  <c r="A88" i="5"/>
  <c r="E87" i="5"/>
  <c r="D87" i="5"/>
  <c r="B87" i="5"/>
  <c r="A87" i="5"/>
  <c r="E86" i="5"/>
  <c r="D86" i="5"/>
  <c r="B86" i="5"/>
  <c r="A86" i="5"/>
  <c r="E85" i="5"/>
  <c r="D85" i="5"/>
  <c r="B85" i="5"/>
  <c r="A85" i="5"/>
  <c r="E84" i="5"/>
  <c r="D84" i="5"/>
  <c r="B84" i="5"/>
  <c r="A84" i="5"/>
  <c r="E83" i="5"/>
  <c r="D83" i="5"/>
  <c r="B83" i="5"/>
  <c r="A83" i="5"/>
  <c r="E82" i="5"/>
  <c r="D82" i="5"/>
  <c r="B82" i="5"/>
  <c r="A82" i="5"/>
  <c r="E81" i="5"/>
  <c r="D81" i="5"/>
  <c r="B81" i="5"/>
  <c r="A81" i="5"/>
  <c r="E80" i="5"/>
  <c r="D80" i="5"/>
  <c r="B80" i="5"/>
  <c r="A80" i="5"/>
  <c r="E79" i="5"/>
  <c r="D79" i="5"/>
  <c r="B79" i="5"/>
  <c r="A79" i="5"/>
  <c r="E78" i="5"/>
  <c r="D78" i="5"/>
  <c r="B78" i="5"/>
  <c r="A78" i="5"/>
  <c r="E77" i="5"/>
  <c r="D77" i="5"/>
  <c r="B77" i="5"/>
  <c r="A77" i="5"/>
  <c r="E76" i="5"/>
  <c r="D76" i="5"/>
  <c r="B76" i="5"/>
  <c r="A76" i="5"/>
  <c r="E75" i="5"/>
  <c r="D75" i="5"/>
  <c r="B75" i="5"/>
  <c r="A75" i="5"/>
  <c r="E74" i="5"/>
  <c r="D74" i="5"/>
  <c r="B74" i="5"/>
  <c r="A74" i="5"/>
  <c r="E73" i="5"/>
  <c r="D73" i="5"/>
  <c r="B73" i="5"/>
  <c r="A73" i="5"/>
  <c r="E72" i="5"/>
  <c r="D72" i="5"/>
  <c r="B72" i="5"/>
  <c r="A72" i="5"/>
  <c r="E71" i="5"/>
  <c r="D71" i="5"/>
  <c r="B71" i="5"/>
  <c r="A71" i="5"/>
  <c r="E70" i="5"/>
  <c r="D70" i="5"/>
  <c r="B70" i="5"/>
  <c r="A70" i="5"/>
  <c r="E69" i="5"/>
  <c r="D69" i="5"/>
  <c r="B69" i="5"/>
  <c r="A69" i="5"/>
  <c r="E68" i="5"/>
  <c r="D68" i="5"/>
  <c r="B68" i="5"/>
  <c r="A68" i="5"/>
  <c r="E67" i="5"/>
  <c r="D67" i="5"/>
  <c r="B67" i="5"/>
  <c r="A67" i="5"/>
  <c r="E66" i="5"/>
  <c r="D66" i="5"/>
  <c r="B66" i="5"/>
  <c r="A66" i="5"/>
  <c r="E65" i="5"/>
  <c r="D65" i="5"/>
  <c r="B65" i="5"/>
  <c r="A65" i="5"/>
  <c r="E64" i="5"/>
  <c r="D64" i="5"/>
  <c r="B64" i="5"/>
  <c r="A64" i="5"/>
  <c r="E63" i="5"/>
  <c r="D63" i="5"/>
  <c r="B63" i="5"/>
  <c r="A63" i="5"/>
  <c r="E62" i="5"/>
  <c r="D62" i="5"/>
  <c r="B62" i="5"/>
  <c r="A62" i="5"/>
  <c r="E61" i="5"/>
  <c r="D61" i="5"/>
  <c r="B61" i="5"/>
  <c r="A61" i="5"/>
  <c r="E60" i="5"/>
  <c r="D60" i="5"/>
  <c r="B60" i="5"/>
  <c r="A60" i="5"/>
  <c r="E59" i="5"/>
  <c r="D59" i="5"/>
  <c r="B59" i="5"/>
  <c r="A59" i="5"/>
  <c r="E58" i="5"/>
  <c r="D58" i="5"/>
  <c r="B58" i="5"/>
  <c r="A58" i="5"/>
  <c r="E57" i="5"/>
  <c r="D57" i="5"/>
  <c r="B57" i="5"/>
  <c r="A57" i="5"/>
  <c r="E56" i="5"/>
  <c r="D56" i="5"/>
  <c r="B56" i="5"/>
  <c r="A56" i="5"/>
  <c r="E55" i="5"/>
  <c r="D55" i="5"/>
  <c r="B55" i="5"/>
  <c r="A55" i="5"/>
  <c r="E54" i="5"/>
  <c r="D54" i="5"/>
  <c r="B54" i="5"/>
  <c r="A54" i="5"/>
  <c r="E53" i="5"/>
  <c r="D53" i="5"/>
  <c r="B53" i="5"/>
  <c r="A53" i="5"/>
  <c r="E52" i="5"/>
  <c r="D52" i="5"/>
  <c r="B52" i="5"/>
  <c r="A52" i="5"/>
  <c r="E51" i="5"/>
  <c r="D51" i="5"/>
  <c r="B51" i="5"/>
  <c r="A51" i="5"/>
  <c r="E50" i="5"/>
  <c r="D50" i="5"/>
  <c r="B50" i="5"/>
  <c r="A50" i="5"/>
  <c r="E49" i="5"/>
  <c r="D49" i="5"/>
  <c r="B49" i="5"/>
  <c r="A49" i="5"/>
  <c r="E48" i="5"/>
  <c r="D48" i="5"/>
  <c r="B48" i="5"/>
  <c r="A48" i="5"/>
  <c r="E47" i="5"/>
  <c r="D47" i="5"/>
  <c r="B47" i="5"/>
  <c r="A47" i="5"/>
  <c r="E46" i="5"/>
  <c r="D46" i="5"/>
  <c r="B46" i="5"/>
  <c r="A46" i="5"/>
  <c r="E45" i="5"/>
  <c r="D45" i="5"/>
  <c r="B45" i="5"/>
  <c r="A45" i="5"/>
  <c r="E44" i="5"/>
  <c r="D44" i="5"/>
  <c r="B44" i="5"/>
  <c r="A44" i="5"/>
  <c r="E43" i="5"/>
  <c r="D43" i="5"/>
  <c r="B43" i="5"/>
  <c r="A43" i="5"/>
  <c r="E42" i="5"/>
  <c r="D42" i="5"/>
  <c r="B42" i="5"/>
  <c r="A42" i="5"/>
  <c r="E41" i="5"/>
  <c r="D41" i="5"/>
  <c r="B41" i="5"/>
  <c r="A41" i="5"/>
  <c r="E40" i="5"/>
  <c r="D40" i="5"/>
  <c r="B40" i="5"/>
  <c r="A40" i="5"/>
  <c r="E39" i="5"/>
  <c r="D39" i="5"/>
  <c r="B39" i="5"/>
  <c r="A39" i="5"/>
  <c r="E38" i="5"/>
  <c r="D38" i="5"/>
  <c r="B38" i="5"/>
  <c r="A38" i="5"/>
  <c r="E37" i="5"/>
  <c r="D37" i="5"/>
  <c r="B37" i="5"/>
  <c r="A37" i="5"/>
  <c r="E36" i="5"/>
  <c r="D36" i="5"/>
  <c r="B36" i="5"/>
  <c r="A36" i="5"/>
  <c r="E35" i="5"/>
  <c r="D35" i="5"/>
  <c r="B35" i="5"/>
  <c r="A35" i="5"/>
  <c r="E34" i="5"/>
  <c r="D34" i="5"/>
  <c r="B34" i="5"/>
  <c r="A34" i="5"/>
  <c r="E33" i="5"/>
  <c r="D33" i="5"/>
  <c r="B33" i="5"/>
  <c r="A33" i="5"/>
  <c r="E32" i="5"/>
  <c r="D32" i="5"/>
  <c r="B32" i="5"/>
  <c r="A32" i="5"/>
  <c r="E31" i="5"/>
  <c r="D31" i="5"/>
  <c r="B31" i="5"/>
  <c r="A31" i="5"/>
  <c r="E30" i="5"/>
  <c r="D30" i="5"/>
  <c r="B30" i="5"/>
  <c r="A30" i="5"/>
  <c r="E29" i="5"/>
  <c r="D29" i="5"/>
  <c r="B29" i="5"/>
  <c r="A29" i="5"/>
  <c r="E28" i="5"/>
  <c r="D28" i="5"/>
  <c r="B28" i="5"/>
  <c r="A28" i="5"/>
  <c r="E27" i="5"/>
  <c r="D27" i="5"/>
  <c r="B27" i="5"/>
  <c r="A27" i="5"/>
  <c r="E26" i="5"/>
  <c r="D26" i="5"/>
  <c r="B26" i="5"/>
  <c r="A26" i="5"/>
  <c r="E25" i="5"/>
  <c r="D25" i="5"/>
  <c r="B25" i="5"/>
  <c r="A25" i="5"/>
  <c r="E24" i="5"/>
  <c r="D24" i="5"/>
  <c r="B24" i="5"/>
  <c r="A24" i="5"/>
  <c r="E23" i="5"/>
  <c r="D23" i="5"/>
  <c r="B23" i="5"/>
  <c r="A23" i="5"/>
  <c r="E22" i="5"/>
  <c r="D22" i="5"/>
  <c r="B22" i="5"/>
  <c r="A22" i="5"/>
  <c r="E21" i="5"/>
  <c r="D21" i="5"/>
  <c r="B21" i="5"/>
  <c r="A21" i="5"/>
  <c r="E20" i="5"/>
  <c r="D20" i="5"/>
  <c r="B20" i="5"/>
  <c r="A20" i="5"/>
  <c r="E19" i="5"/>
  <c r="D19" i="5"/>
  <c r="B19" i="5"/>
  <c r="A19" i="5"/>
  <c r="E18" i="5"/>
  <c r="D18" i="5"/>
  <c r="B18" i="5"/>
  <c r="A18" i="5"/>
  <c r="E17" i="5"/>
  <c r="D17" i="5"/>
  <c r="B17" i="5"/>
  <c r="A17" i="5"/>
  <c r="E16" i="5"/>
  <c r="D16" i="5"/>
  <c r="B16" i="5"/>
  <c r="A16" i="5"/>
  <c r="E15" i="5"/>
  <c r="D15" i="5"/>
  <c r="B15" i="5"/>
  <c r="A15" i="5"/>
  <c r="E14" i="5"/>
  <c r="D14" i="5"/>
  <c r="B14" i="5"/>
  <c r="A14" i="5"/>
  <c r="E13" i="5"/>
  <c r="D13" i="5"/>
  <c r="B13" i="5"/>
  <c r="A13" i="5"/>
  <c r="E12" i="5"/>
  <c r="D12" i="5"/>
  <c r="B12" i="5"/>
  <c r="A12" i="5"/>
  <c r="E11" i="5"/>
  <c r="D11" i="5"/>
  <c r="B11" i="5"/>
  <c r="A11" i="5"/>
  <c r="E10" i="5"/>
  <c r="D10" i="5"/>
  <c r="B10" i="5"/>
  <c r="A10" i="5"/>
  <c r="E9" i="5"/>
  <c r="D9" i="5"/>
  <c r="B9" i="5"/>
  <c r="A9" i="5"/>
  <c r="E8" i="5"/>
  <c r="D8" i="5"/>
  <c r="B8" i="5"/>
  <c r="A8" i="5"/>
  <c r="E7" i="5"/>
  <c r="D7" i="5"/>
  <c r="B7" i="5"/>
  <c r="A7" i="5"/>
  <c r="E6" i="5"/>
  <c r="D6" i="5"/>
  <c r="B6" i="5"/>
  <c r="A6" i="5"/>
  <c r="M266" i="4"/>
  <c r="C262" i="5" s="1"/>
  <c r="H262" i="5" s="1"/>
  <c r="M265" i="4"/>
  <c r="C261" i="5" s="1"/>
  <c r="H261" i="5" s="1"/>
  <c r="M264" i="4"/>
  <c r="C260" i="5" s="1"/>
  <c r="H260" i="5" s="1"/>
  <c r="M263" i="4"/>
  <c r="C259" i="5" s="1"/>
  <c r="H259" i="5" s="1"/>
  <c r="M262" i="4"/>
  <c r="C258" i="5" s="1"/>
  <c r="H258" i="5" s="1"/>
  <c r="M261" i="4"/>
  <c r="C257" i="5" s="1"/>
  <c r="H257" i="5" s="1"/>
  <c r="M260" i="4"/>
  <c r="C256" i="5" s="1"/>
  <c r="H256" i="5" s="1"/>
  <c r="M259" i="4"/>
  <c r="C255" i="5" s="1"/>
  <c r="H255" i="5" s="1"/>
  <c r="M258" i="4"/>
  <c r="C254" i="5" s="1"/>
  <c r="H254" i="5" s="1"/>
  <c r="M257" i="4"/>
  <c r="C253" i="5" s="1"/>
  <c r="H253" i="5" s="1"/>
  <c r="M256" i="4"/>
  <c r="C252" i="5" s="1"/>
  <c r="H252" i="5" s="1"/>
  <c r="M255" i="4"/>
  <c r="C251" i="5" s="1"/>
  <c r="H251" i="5" s="1"/>
  <c r="M254" i="4"/>
  <c r="C250" i="5" s="1"/>
  <c r="H250" i="5" s="1"/>
  <c r="M253" i="4"/>
  <c r="C249" i="5" s="1"/>
  <c r="H249" i="5" s="1"/>
  <c r="M252" i="4"/>
  <c r="C248" i="5" s="1"/>
  <c r="H248" i="5" s="1"/>
  <c r="M251" i="4"/>
  <c r="C247" i="5" s="1"/>
  <c r="H247" i="5" s="1"/>
  <c r="M250" i="4"/>
  <c r="C246" i="5" s="1"/>
  <c r="H246" i="5" s="1"/>
  <c r="M249" i="4"/>
  <c r="C245" i="5" s="1"/>
  <c r="H245" i="5" s="1"/>
  <c r="M248" i="4"/>
  <c r="C244" i="5" s="1"/>
  <c r="H244" i="5" s="1"/>
  <c r="M247" i="4"/>
  <c r="C243" i="5" s="1"/>
  <c r="H243" i="5" s="1"/>
  <c r="M246" i="4"/>
  <c r="C242" i="5" s="1"/>
  <c r="H242" i="5" s="1"/>
  <c r="M245" i="4"/>
  <c r="C241" i="5" s="1"/>
  <c r="H241" i="5" s="1"/>
  <c r="M244" i="4"/>
  <c r="C240" i="5" s="1"/>
  <c r="H240" i="5" s="1"/>
  <c r="M243" i="4"/>
  <c r="C239" i="5" s="1"/>
  <c r="H239" i="5" s="1"/>
  <c r="M242" i="4"/>
  <c r="C238" i="5" s="1"/>
  <c r="H238" i="5" s="1"/>
  <c r="M241" i="4"/>
  <c r="C237" i="5" s="1"/>
  <c r="H237" i="5" s="1"/>
  <c r="M240" i="4"/>
  <c r="C236" i="5" s="1"/>
  <c r="H236" i="5" s="1"/>
  <c r="M239" i="4"/>
  <c r="C235" i="5" s="1"/>
  <c r="H235" i="5" s="1"/>
  <c r="M238" i="4"/>
  <c r="C234" i="5" s="1"/>
  <c r="H234" i="5" s="1"/>
  <c r="M237" i="4"/>
  <c r="C233" i="5" s="1"/>
  <c r="H233" i="5" s="1"/>
  <c r="M236" i="4"/>
  <c r="C232" i="5" s="1"/>
  <c r="H232" i="5" s="1"/>
  <c r="M235" i="4"/>
  <c r="C231" i="5" s="1"/>
  <c r="H231" i="5" s="1"/>
  <c r="M234" i="4"/>
  <c r="C230" i="5" s="1"/>
  <c r="H230" i="5" s="1"/>
  <c r="M233" i="4"/>
  <c r="C229" i="5" s="1"/>
  <c r="H229" i="5" s="1"/>
  <c r="M232" i="4"/>
  <c r="C228" i="5" s="1"/>
  <c r="H228" i="5" s="1"/>
  <c r="M231" i="4"/>
  <c r="C227" i="5" s="1"/>
  <c r="H227" i="5" s="1"/>
  <c r="M230" i="4"/>
  <c r="C226" i="5" s="1"/>
  <c r="H226" i="5" s="1"/>
  <c r="M229" i="4"/>
  <c r="C225" i="5" s="1"/>
  <c r="H225" i="5" s="1"/>
  <c r="M228" i="4"/>
  <c r="C224" i="5" s="1"/>
  <c r="H224" i="5" s="1"/>
  <c r="M227" i="4"/>
  <c r="C223" i="5" s="1"/>
  <c r="H223" i="5" s="1"/>
  <c r="M226" i="4"/>
  <c r="C222" i="5" s="1"/>
  <c r="H222" i="5" s="1"/>
  <c r="M225" i="4"/>
  <c r="C221" i="5" s="1"/>
  <c r="H221" i="5" s="1"/>
  <c r="M224" i="4"/>
  <c r="C220" i="5" s="1"/>
  <c r="H220" i="5" s="1"/>
  <c r="M223" i="4"/>
  <c r="C219" i="5" s="1"/>
  <c r="H219" i="5" s="1"/>
  <c r="M222" i="4"/>
  <c r="C218" i="5" s="1"/>
  <c r="H218" i="5" s="1"/>
  <c r="M221" i="4"/>
  <c r="C217" i="5" s="1"/>
  <c r="H217" i="5" s="1"/>
  <c r="M220" i="4"/>
  <c r="C216" i="5" s="1"/>
  <c r="H216" i="5" s="1"/>
  <c r="M219" i="4"/>
  <c r="C215" i="5" s="1"/>
  <c r="H215" i="5" s="1"/>
  <c r="M218" i="4"/>
  <c r="C214" i="5" s="1"/>
  <c r="H214" i="5" s="1"/>
  <c r="M217" i="4"/>
  <c r="C213" i="5" s="1"/>
  <c r="H213" i="5" s="1"/>
  <c r="M216" i="4"/>
  <c r="C212" i="5" s="1"/>
  <c r="H212" i="5" s="1"/>
  <c r="M215" i="4"/>
  <c r="C211" i="5" s="1"/>
  <c r="H211" i="5" s="1"/>
  <c r="M214" i="4"/>
  <c r="C210" i="5" s="1"/>
  <c r="H210" i="5" s="1"/>
  <c r="M213" i="4"/>
  <c r="C209" i="5" s="1"/>
  <c r="H209" i="5" s="1"/>
  <c r="M212" i="4"/>
  <c r="C208" i="5" s="1"/>
  <c r="H208" i="5" s="1"/>
  <c r="M211" i="4"/>
  <c r="C207" i="5" s="1"/>
  <c r="H207" i="5" s="1"/>
  <c r="M210" i="4"/>
  <c r="C206" i="5" s="1"/>
  <c r="H206" i="5" s="1"/>
  <c r="M209" i="4"/>
  <c r="C205" i="5" s="1"/>
  <c r="H205" i="5" s="1"/>
  <c r="M208" i="4"/>
  <c r="C204" i="5" s="1"/>
  <c r="H204" i="5" s="1"/>
  <c r="M207" i="4"/>
  <c r="C203" i="5" s="1"/>
  <c r="H203" i="5" s="1"/>
  <c r="M206" i="4"/>
  <c r="C202" i="5" s="1"/>
  <c r="H202" i="5" s="1"/>
  <c r="M205" i="4"/>
  <c r="C201" i="5" s="1"/>
  <c r="H201" i="5" s="1"/>
  <c r="M204" i="4"/>
  <c r="C200" i="5" s="1"/>
  <c r="H200" i="5" s="1"/>
  <c r="M203" i="4"/>
  <c r="C199" i="5" s="1"/>
  <c r="H199" i="5" s="1"/>
  <c r="M202" i="4"/>
  <c r="C198" i="5" s="1"/>
  <c r="H198" i="5" s="1"/>
  <c r="M201" i="4"/>
  <c r="C197" i="5" s="1"/>
  <c r="H197" i="5" s="1"/>
  <c r="M200" i="4"/>
  <c r="C196" i="5" s="1"/>
  <c r="H196" i="5" s="1"/>
  <c r="M199" i="4"/>
  <c r="C195" i="5" s="1"/>
  <c r="H195" i="5" s="1"/>
  <c r="M198" i="4"/>
  <c r="C194" i="5" s="1"/>
  <c r="H194" i="5" s="1"/>
  <c r="M197" i="4"/>
  <c r="C193" i="5" s="1"/>
  <c r="H193" i="5" s="1"/>
  <c r="M196" i="4"/>
  <c r="C192" i="5" s="1"/>
  <c r="H192" i="5" s="1"/>
  <c r="M195" i="4"/>
  <c r="C191" i="5" s="1"/>
  <c r="H191" i="5" s="1"/>
  <c r="M194" i="4"/>
  <c r="C190" i="5" s="1"/>
  <c r="H190" i="5" s="1"/>
  <c r="M193" i="4"/>
  <c r="C189" i="5" s="1"/>
  <c r="H189" i="5" s="1"/>
  <c r="M192" i="4"/>
  <c r="C188" i="5" s="1"/>
  <c r="H188" i="5" s="1"/>
  <c r="M191" i="4"/>
  <c r="C187" i="5" s="1"/>
  <c r="H187" i="5" s="1"/>
  <c r="M190" i="4"/>
  <c r="C186" i="5" s="1"/>
  <c r="H186" i="5" s="1"/>
  <c r="M189" i="4"/>
  <c r="C185" i="5" s="1"/>
  <c r="H185" i="5" s="1"/>
  <c r="M188" i="4"/>
  <c r="C184" i="5" s="1"/>
  <c r="H184" i="5" s="1"/>
  <c r="M187" i="4"/>
  <c r="C183" i="5" s="1"/>
  <c r="H183" i="5" s="1"/>
  <c r="M186" i="4"/>
  <c r="C182" i="5" s="1"/>
  <c r="H182" i="5" s="1"/>
  <c r="M185" i="4"/>
  <c r="C181" i="5" s="1"/>
  <c r="H181" i="5" s="1"/>
  <c r="M184" i="4"/>
  <c r="C180" i="5" s="1"/>
  <c r="H180" i="5" s="1"/>
  <c r="M183" i="4"/>
  <c r="C179" i="5" s="1"/>
  <c r="H179" i="5" s="1"/>
  <c r="M182" i="4"/>
  <c r="C178" i="5" s="1"/>
  <c r="H178" i="5" s="1"/>
  <c r="M181" i="4"/>
  <c r="C177" i="5" s="1"/>
  <c r="H177" i="5" s="1"/>
  <c r="M180" i="4"/>
  <c r="C176" i="5" s="1"/>
  <c r="H176" i="5" s="1"/>
  <c r="M179" i="4"/>
  <c r="C175" i="5" s="1"/>
  <c r="H175" i="5" s="1"/>
  <c r="M178" i="4"/>
  <c r="C174" i="5" s="1"/>
  <c r="H174" i="5" s="1"/>
  <c r="M177" i="4"/>
  <c r="C173" i="5" s="1"/>
  <c r="H173" i="5" s="1"/>
  <c r="M176" i="4"/>
  <c r="C172" i="5" s="1"/>
  <c r="H172" i="5" s="1"/>
  <c r="M175" i="4"/>
  <c r="C171" i="5" s="1"/>
  <c r="H171" i="5" s="1"/>
  <c r="M174" i="4"/>
  <c r="C170" i="5" s="1"/>
  <c r="H170" i="5" s="1"/>
  <c r="M173" i="4"/>
  <c r="C169" i="5" s="1"/>
  <c r="H169" i="5" s="1"/>
  <c r="M172" i="4"/>
  <c r="C168" i="5" s="1"/>
  <c r="H168" i="5" s="1"/>
  <c r="M171" i="4"/>
  <c r="C167" i="5" s="1"/>
  <c r="H167" i="5" s="1"/>
  <c r="M170" i="4"/>
  <c r="C166" i="5" s="1"/>
  <c r="H166" i="5" s="1"/>
  <c r="M169" i="4"/>
  <c r="C165" i="5" s="1"/>
  <c r="H165" i="5" s="1"/>
  <c r="M168" i="4"/>
  <c r="C164" i="5" s="1"/>
  <c r="H164" i="5" s="1"/>
  <c r="M167" i="4"/>
  <c r="C163" i="5" s="1"/>
  <c r="H163" i="5" s="1"/>
  <c r="M166" i="4"/>
  <c r="C162" i="5" s="1"/>
  <c r="H162" i="5" s="1"/>
  <c r="M165" i="4"/>
  <c r="C161" i="5" s="1"/>
  <c r="H161" i="5" s="1"/>
  <c r="M164" i="4"/>
  <c r="C160" i="5" s="1"/>
  <c r="H160" i="5" s="1"/>
  <c r="M163" i="4"/>
  <c r="C159" i="5" s="1"/>
  <c r="H159" i="5" s="1"/>
  <c r="M162" i="4"/>
  <c r="C158" i="5" s="1"/>
  <c r="H158" i="5" s="1"/>
  <c r="M161" i="4"/>
  <c r="C157" i="5" s="1"/>
  <c r="H157" i="5" s="1"/>
  <c r="M160" i="4"/>
  <c r="C156" i="5" s="1"/>
  <c r="H156" i="5" s="1"/>
  <c r="M159" i="4"/>
  <c r="C155" i="5" s="1"/>
  <c r="H155" i="5" s="1"/>
  <c r="M158" i="4"/>
  <c r="C154" i="5" s="1"/>
  <c r="H154" i="5" s="1"/>
  <c r="M157" i="4"/>
  <c r="C153" i="5" s="1"/>
  <c r="H153" i="5" s="1"/>
  <c r="M156" i="4"/>
  <c r="C152" i="5" s="1"/>
  <c r="H152" i="5" s="1"/>
  <c r="M155" i="4"/>
  <c r="C151" i="5" s="1"/>
  <c r="H151" i="5" s="1"/>
  <c r="M154" i="4"/>
  <c r="C150" i="5" s="1"/>
  <c r="H150" i="5" s="1"/>
  <c r="M153" i="4"/>
  <c r="C149" i="5" s="1"/>
  <c r="H149" i="5" s="1"/>
  <c r="M152" i="4"/>
  <c r="C148" i="5" s="1"/>
  <c r="H148" i="5" s="1"/>
  <c r="M151" i="4"/>
  <c r="C147" i="5" s="1"/>
  <c r="H147" i="5" s="1"/>
  <c r="M150" i="4"/>
  <c r="C146" i="5" s="1"/>
  <c r="H146" i="5" s="1"/>
  <c r="M149" i="4"/>
  <c r="C145" i="5" s="1"/>
  <c r="H145" i="5" s="1"/>
  <c r="M148" i="4"/>
  <c r="C144" i="5" s="1"/>
  <c r="H144" i="5" s="1"/>
  <c r="M147" i="4"/>
  <c r="C143" i="5" s="1"/>
  <c r="H143" i="5" s="1"/>
  <c r="M146" i="4"/>
  <c r="C142" i="5" s="1"/>
  <c r="H142" i="5" s="1"/>
  <c r="M145" i="4"/>
  <c r="C141" i="5" s="1"/>
  <c r="H141" i="5" s="1"/>
  <c r="M144" i="4"/>
  <c r="C140" i="5" s="1"/>
  <c r="H140" i="5" s="1"/>
  <c r="M143" i="4"/>
  <c r="C139" i="5" s="1"/>
  <c r="H139" i="5" s="1"/>
  <c r="M142" i="4"/>
  <c r="C138" i="5" s="1"/>
  <c r="H138" i="5" s="1"/>
  <c r="M141" i="4"/>
  <c r="C137" i="5" s="1"/>
  <c r="H137" i="5" s="1"/>
  <c r="M140" i="4"/>
  <c r="C136" i="5" s="1"/>
  <c r="H136" i="5" s="1"/>
  <c r="M139" i="4"/>
  <c r="C135" i="5" s="1"/>
  <c r="H135" i="5" s="1"/>
  <c r="M138" i="4"/>
  <c r="C134" i="5" s="1"/>
  <c r="H134" i="5" s="1"/>
  <c r="M137" i="4"/>
  <c r="C133" i="5" s="1"/>
  <c r="H133" i="5" s="1"/>
  <c r="M136" i="4"/>
  <c r="C132" i="5" s="1"/>
  <c r="H132" i="5" s="1"/>
  <c r="M135" i="4"/>
  <c r="C131" i="5" s="1"/>
  <c r="H131" i="5" s="1"/>
  <c r="M134" i="4"/>
  <c r="C130" i="5" s="1"/>
  <c r="H130" i="5" s="1"/>
  <c r="M133" i="4"/>
  <c r="C129" i="5" s="1"/>
  <c r="H129" i="5" s="1"/>
  <c r="M132" i="4"/>
  <c r="C128" i="5" s="1"/>
  <c r="H128" i="5" s="1"/>
  <c r="M131" i="4"/>
  <c r="C127" i="5" s="1"/>
  <c r="H127" i="5" s="1"/>
  <c r="M130" i="4"/>
  <c r="C126" i="5" s="1"/>
  <c r="H126" i="5" s="1"/>
  <c r="M129" i="4"/>
  <c r="C125" i="5" s="1"/>
  <c r="H125" i="5" s="1"/>
  <c r="M128" i="4"/>
  <c r="C124" i="5" s="1"/>
  <c r="H124" i="5" s="1"/>
  <c r="M127" i="4"/>
  <c r="C123" i="5" s="1"/>
  <c r="H123" i="5" s="1"/>
  <c r="M126" i="4"/>
  <c r="C122" i="5" s="1"/>
  <c r="H122" i="5" s="1"/>
  <c r="M125" i="4"/>
  <c r="C121" i="5" s="1"/>
  <c r="H121" i="5" s="1"/>
  <c r="M124" i="4"/>
  <c r="C120" i="5" s="1"/>
  <c r="H120" i="5" s="1"/>
  <c r="M123" i="4"/>
  <c r="C119" i="5" s="1"/>
  <c r="H119" i="5" s="1"/>
  <c r="M122" i="4"/>
  <c r="C118" i="5" s="1"/>
  <c r="H118" i="5" s="1"/>
  <c r="M121" i="4"/>
  <c r="C117" i="5" s="1"/>
  <c r="H117" i="5" s="1"/>
  <c r="M120" i="4"/>
  <c r="C116" i="5" s="1"/>
  <c r="H116" i="5" s="1"/>
  <c r="M119" i="4"/>
  <c r="C115" i="5" s="1"/>
  <c r="H115" i="5" s="1"/>
  <c r="M118" i="4"/>
  <c r="C114" i="5" s="1"/>
  <c r="H114" i="5" s="1"/>
  <c r="M117" i="4"/>
  <c r="C113" i="5" s="1"/>
  <c r="H113" i="5" s="1"/>
  <c r="M116" i="4"/>
  <c r="C112" i="5" s="1"/>
  <c r="H112" i="5" s="1"/>
  <c r="M115" i="4"/>
  <c r="C111" i="5" s="1"/>
  <c r="H111" i="5" s="1"/>
  <c r="M114" i="4"/>
  <c r="C110" i="5" s="1"/>
  <c r="H110" i="5" s="1"/>
  <c r="M113" i="4"/>
  <c r="C109" i="5" s="1"/>
  <c r="H109" i="5" s="1"/>
  <c r="M112" i="4"/>
  <c r="C108" i="5" s="1"/>
  <c r="H108" i="5" s="1"/>
  <c r="M111" i="4"/>
  <c r="C107" i="5" s="1"/>
  <c r="H107" i="5" s="1"/>
  <c r="M110" i="4"/>
  <c r="C106" i="5" s="1"/>
  <c r="H106" i="5" s="1"/>
  <c r="M109" i="4"/>
  <c r="C105" i="5" s="1"/>
  <c r="H105" i="5" s="1"/>
  <c r="M108" i="4"/>
  <c r="C104" i="5" s="1"/>
  <c r="H104" i="5" s="1"/>
  <c r="M107" i="4"/>
  <c r="C103" i="5" s="1"/>
  <c r="H103" i="5" s="1"/>
  <c r="M106" i="4"/>
  <c r="C102" i="5" s="1"/>
  <c r="H102" i="5" s="1"/>
  <c r="M105" i="4"/>
  <c r="C101" i="5" s="1"/>
  <c r="H101" i="5" s="1"/>
  <c r="M104" i="4"/>
  <c r="C100" i="5" s="1"/>
  <c r="H100" i="5" s="1"/>
  <c r="M103" i="4"/>
  <c r="C99" i="5" s="1"/>
  <c r="H99" i="5" s="1"/>
  <c r="M102" i="4"/>
  <c r="C98" i="5" s="1"/>
  <c r="H98" i="5" s="1"/>
  <c r="M101" i="4"/>
  <c r="C97" i="5" s="1"/>
  <c r="H97" i="5" s="1"/>
  <c r="M100" i="4"/>
  <c r="C96" i="5" s="1"/>
  <c r="H96" i="5" s="1"/>
  <c r="M99" i="4"/>
  <c r="C95" i="5" s="1"/>
  <c r="H95" i="5" s="1"/>
  <c r="M98" i="4"/>
  <c r="C94" i="5" s="1"/>
  <c r="H94" i="5" s="1"/>
  <c r="M97" i="4"/>
  <c r="C93" i="5" s="1"/>
  <c r="H93" i="5" s="1"/>
  <c r="M96" i="4"/>
  <c r="C92" i="5" s="1"/>
  <c r="H92" i="5" s="1"/>
  <c r="M95" i="4"/>
  <c r="C91" i="5" s="1"/>
  <c r="H91" i="5" s="1"/>
  <c r="M94" i="4"/>
  <c r="C90" i="5" s="1"/>
  <c r="H90" i="5" s="1"/>
  <c r="M93" i="4"/>
  <c r="C89" i="5" s="1"/>
  <c r="H89" i="5" s="1"/>
  <c r="M92" i="4"/>
  <c r="C88" i="5" s="1"/>
  <c r="H88" i="5" s="1"/>
  <c r="M91" i="4"/>
  <c r="C87" i="5" s="1"/>
  <c r="H87" i="5" s="1"/>
  <c r="M90" i="4"/>
  <c r="C86" i="5" s="1"/>
  <c r="H86" i="5" s="1"/>
  <c r="M89" i="4"/>
  <c r="C85" i="5" s="1"/>
  <c r="H85" i="5" s="1"/>
  <c r="M88" i="4"/>
  <c r="C84" i="5" s="1"/>
  <c r="H84" i="5" s="1"/>
  <c r="M87" i="4"/>
  <c r="C83" i="5" s="1"/>
  <c r="H83" i="5" s="1"/>
  <c r="M86" i="4"/>
  <c r="C82" i="5" s="1"/>
  <c r="H82" i="5" s="1"/>
  <c r="M85" i="4"/>
  <c r="C81" i="5" s="1"/>
  <c r="H81" i="5" s="1"/>
  <c r="M84" i="4"/>
  <c r="C80" i="5" s="1"/>
  <c r="H80" i="5" s="1"/>
  <c r="M83" i="4"/>
  <c r="C79" i="5" s="1"/>
  <c r="H79" i="5" s="1"/>
  <c r="M82" i="4"/>
  <c r="C78" i="5" s="1"/>
  <c r="H78" i="5" s="1"/>
  <c r="M81" i="4"/>
  <c r="C77" i="5" s="1"/>
  <c r="H77" i="5" s="1"/>
  <c r="M80" i="4"/>
  <c r="C76" i="5" s="1"/>
  <c r="H76" i="5" s="1"/>
  <c r="M79" i="4"/>
  <c r="C75" i="5" s="1"/>
  <c r="H75" i="5" s="1"/>
  <c r="M78" i="4"/>
  <c r="C74" i="5" s="1"/>
  <c r="H74" i="5" s="1"/>
  <c r="M77" i="4"/>
  <c r="C73" i="5" s="1"/>
  <c r="H73" i="5" s="1"/>
  <c r="M76" i="4"/>
  <c r="C72" i="5" s="1"/>
  <c r="H72" i="5" s="1"/>
  <c r="M75" i="4"/>
  <c r="C71" i="5" s="1"/>
  <c r="H71" i="5" s="1"/>
  <c r="M74" i="4"/>
  <c r="C70" i="5" s="1"/>
  <c r="H70" i="5" s="1"/>
  <c r="M73" i="4"/>
  <c r="C69" i="5" s="1"/>
  <c r="H69" i="5" s="1"/>
  <c r="M72" i="4"/>
  <c r="C68" i="5" s="1"/>
  <c r="H68" i="5" s="1"/>
  <c r="M71" i="4"/>
  <c r="C67" i="5" s="1"/>
  <c r="H67" i="5" s="1"/>
  <c r="M70" i="4"/>
  <c r="C66" i="5" s="1"/>
  <c r="H66" i="5" s="1"/>
  <c r="M69" i="4"/>
  <c r="C65" i="5" s="1"/>
  <c r="H65" i="5" s="1"/>
  <c r="M68" i="4"/>
  <c r="C64" i="5" s="1"/>
  <c r="H64" i="5" s="1"/>
  <c r="M67" i="4"/>
  <c r="C63" i="5" s="1"/>
  <c r="H63" i="5" s="1"/>
  <c r="M66" i="4"/>
  <c r="C62" i="5" s="1"/>
  <c r="H62" i="5" s="1"/>
  <c r="M65" i="4"/>
  <c r="C61" i="5" s="1"/>
  <c r="H61" i="5" s="1"/>
  <c r="M64" i="4"/>
  <c r="C60" i="5" s="1"/>
  <c r="H60" i="5" s="1"/>
  <c r="M63" i="4"/>
  <c r="C59" i="5" s="1"/>
  <c r="H59" i="5" s="1"/>
  <c r="M62" i="4"/>
  <c r="M61" i="4"/>
  <c r="C57" i="5" s="1"/>
  <c r="H57" i="5" s="1"/>
  <c r="M60" i="4"/>
  <c r="C56" i="5" s="1"/>
  <c r="H56" i="5" s="1"/>
  <c r="M59" i="4"/>
  <c r="C55" i="5" s="1"/>
  <c r="H55" i="5" s="1"/>
  <c r="M58" i="4"/>
  <c r="C54" i="5" s="1"/>
  <c r="H54" i="5" s="1"/>
  <c r="M57" i="4"/>
  <c r="C53" i="5" s="1"/>
  <c r="H53" i="5" s="1"/>
  <c r="M56" i="4"/>
  <c r="C52" i="5" s="1"/>
  <c r="H52" i="5" s="1"/>
  <c r="M55" i="4"/>
  <c r="C51" i="5" s="1"/>
  <c r="H51" i="5" s="1"/>
  <c r="M54" i="4"/>
  <c r="C50" i="5" s="1"/>
  <c r="H50" i="5" s="1"/>
  <c r="M53" i="4"/>
  <c r="C49" i="5" s="1"/>
  <c r="H49" i="5" s="1"/>
  <c r="M52" i="4"/>
  <c r="C48" i="5" s="1"/>
  <c r="H48" i="5" s="1"/>
  <c r="M51" i="4"/>
  <c r="C47" i="5" s="1"/>
  <c r="H47" i="5" s="1"/>
  <c r="M50" i="4"/>
  <c r="C46" i="5" s="1"/>
  <c r="H46" i="5" s="1"/>
  <c r="M49" i="4"/>
  <c r="C45" i="5" s="1"/>
  <c r="H45" i="5" s="1"/>
  <c r="M48" i="4"/>
  <c r="C44" i="5" s="1"/>
  <c r="H44" i="5" s="1"/>
  <c r="M47" i="4"/>
  <c r="C43" i="5" s="1"/>
  <c r="H43" i="5" s="1"/>
  <c r="M46" i="4"/>
  <c r="C42" i="5" s="1"/>
  <c r="H42" i="5" s="1"/>
  <c r="M45" i="4"/>
  <c r="C41" i="5" s="1"/>
  <c r="H41" i="5" s="1"/>
  <c r="M44" i="4"/>
  <c r="C40" i="5" s="1"/>
  <c r="H40" i="5" s="1"/>
  <c r="M43" i="4"/>
  <c r="C39" i="5" s="1"/>
  <c r="H39" i="5" s="1"/>
  <c r="M42" i="4"/>
  <c r="C38" i="5" s="1"/>
  <c r="H38" i="5" s="1"/>
  <c r="M41" i="4"/>
  <c r="C37" i="5" s="1"/>
  <c r="H37" i="5" s="1"/>
  <c r="M40" i="4"/>
  <c r="C36" i="5" s="1"/>
  <c r="H36" i="5" s="1"/>
  <c r="M39" i="4"/>
  <c r="C35" i="5" s="1"/>
  <c r="H35" i="5" s="1"/>
  <c r="M38" i="4"/>
  <c r="C34" i="5" s="1"/>
  <c r="H34" i="5" s="1"/>
  <c r="M37" i="4"/>
  <c r="C33" i="5" s="1"/>
  <c r="H33" i="5" s="1"/>
  <c r="M36" i="4"/>
  <c r="C32" i="5" s="1"/>
  <c r="H32" i="5" s="1"/>
  <c r="M35" i="4"/>
  <c r="C31" i="5" s="1"/>
  <c r="H31" i="5" s="1"/>
  <c r="M34" i="4"/>
  <c r="C30" i="5" s="1"/>
  <c r="H30" i="5" s="1"/>
  <c r="M33" i="4"/>
  <c r="C29" i="5" s="1"/>
  <c r="H29" i="5" s="1"/>
  <c r="M32" i="4"/>
  <c r="C28" i="5" s="1"/>
  <c r="H28" i="5" s="1"/>
  <c r="M31" i="4"/>
  <c r="C27" i="5" s="1"/>
  <c r="H27" i="5" s="1"/>
  <c r="M30" i="4"/>
  <c r="C26" i="5" s="1"/>
  <c r="H26" i="5" s="1"/>
  <c r="M29" i="4"/>
  <c r="C25" i="5" s="1"/>
  <c r="H25" i="5" s="1"/>
  <c r="M28" i="4"/>
  <c r="C24" i="5" s="1"/>
  <c r="H24" i="5" s="1"/>
  <c r="M27" i="4"/>
  <c r="C23" i="5" s="1"/>
  <c r="H23" i="5" s="1"/>
  <c r="M26" i="4"/>
  <c r="C22" i="5" s="1"/>
  <c r="H22" i="5" s="1"/>
  <c r="M25" i="4"/>
  <c r="C21" i="5" s="1"/>
  <c r="H21" i="5" s="1"/>
  <c r="M24" i="4"/>
  <c r="C20" i="5" s="1"/>
  <c r="H20" i="5" s="1"/>
  <c r="M23" i="4"/>
  <c r="C19" i="5" s="1"/>
  <c r="H19" i="5" s="1"/>
  <c r="M22" i="4"/>
  <c r="C18" i="5" s="1"/>
  <c r="H18" i="5" s="1"/>
  <c r="M21" i="4"/>
  <c r="C17" i="5" s="1"/>
  <c r="H17" i="5" s="1"/>
  <c r="M20" i="4"/>
  <c r="C16" i="5" s="1"/>
  <c r="H16" i="5" s="1"/>
  <c r="M19" i="4"/>
  <c r="C15" i="5" s="1"/>
  <c r="H15" i="5" s="1"/>
  <c r="M18" i="4"/>
  <c r="C14" i="5" s="1"/>
  <c r="H14" i="5" s="1"/>
  <c r="M17" i="4"/>
  <c r="C13" i="5" s="1"/>
  <c r="H13" i="5" s="1"/>
  <c r="M16" i="4"/>
  <c r="C12" i="5" s="1"/>
  <c r="H12" i="5" s="1"/>
  <c r="M15" i="4"/>
  <c r="C11" i="5" s="1"/>
  <c r="H11" i="5" s="1"/>
  <c r="M14" i="4"/>
  <c r="C10" i="5" s="1"/>
  <c r="H10" i="5" s="1"/>
  <c r="M13" i="4"/>
  <c r="C9" i="5" s="1"/>
  <c r="H9" i="5" s="1"/>
  <c r="M12" i="4"/>
  <c r="C8" i="5" s="1"/>
  <c r="H8" i="5" s="1"/>
  <c r="M11" i="4"/>
  <c r="C7" i="5" s="1"/>
  <c r="H7" i="5" s="1"/>
  <c r="M10" i="4"/>
  <c r="D284" i="5" l="1"/>
  <c r="D282" i="5"/>
  <c r="D277" i="5"/>
  <c r="D278" i="5"/>
  <c r="D283" i="5"/>
  <c r="D276" i="5"/>
  <c r="G283" i="5"/>
  <c r="C278" i="5"/>
  <c r="E282" i="5"/>
  <c r="E276" i="5"/>
  <c r="C6" i="5"/>
  <c r="H6" i="5" s="1"/>
  <c r="G282" i="5" s="1"/>
  <c r="C282" i="5"/>
  <c r="E278" i="5"/>
  <c r="E283" i="5"/>
  <c r="E277" i="5"/>
  <c r="E284" i="5"/>
  <c r="C58" i="5"/>
  <c r="H58" i="5" s="1"/>
  <c r="G284" i="5" s="1"/>
  <c r="C284" i="5"/>
  <c r="C276" i="5"/>
  <c r="C283" i="5"/>
  <c r="C277" i="5"/>
  <c r="H277" i="5" l="1"/>
  <c r="H276" i="5"/>
  <c r="F282" i="5"/>
  <c r="H283" i="5"/>
  <c r="H284" i="5"/>
  <c r="H282" i="5"/>
  <c r="F277" i="5"/>
  <c r="F283" i="5"/>
  <c r="H278" i="5"/>
  <c r="F278" i="5"/>
  <c r="F284" i="5"/>
  <c r="F27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216CE71-156B-4301-AA1E-4F55DE806F3F}">
      <text>
        <r>
          <rPr>
            <sz val="11"/>
            <color indexed="8"/>
            <rFont val="Calibri"/>
            <family val="2"/>
            <scheme val="minor"/>
          </rPr>
          <t xml:space="preserve">Free text field. </t>
        </r>
      </text>
    </comment>
    <comment ref="D6" authorId="0" shapeId="0" xr:uid="{EBB7E573-BF62-4623-8162-456301C0F6FF}">
      <text>
        <r>
          <rPr>
            <sz val="11"/>
            <color indexed="8"/>
            <rFont val="Calibri"/>
            <family val="2"/>
            <scheme val="minor"/>
          </rPr>
          <t>Free text field. In case of multiple people, each value separated by a separate row</t>
        </r>
      </text>
    </comment>
    <comment ref="E6" authorId="0" shapeId="0" xr:uid="{B62C4834-A8D8-47C3-9339-1C9D8E971ADF}">
      <text>
        <r>
          <rPr>
            <sz val="11"/>
            <color indexed="8"/>
            <rFont val="Calibri"/>
            <family val="2"/>
            <scheme val="minor"/>
          </rPr>
          <t>Free text field. In case of multiple people, each value separated by a separate row</t>
        </r>
      </text>
    </comment>
    <comment ref="F6" authorId="0" shapeId="0" xr:uid="{FC737B35-61D0-4108-83CA-B481E1EB049C}">
      <text>
        <r>
          <rPr>
            <sz val="11"/>
            <color indexed="8"/>
            <rFont val="Calibri"/>
            <family val="2"/>
            <scheme val="minor"/>
          </rPr>
          <t>Free text field. In case of multiple people, each value separated by a separate row</t>
        </r>
      </text>
    </comment>
    <comment ref="G6" authorId="0" shapeId="0" xr:uid="{25776AE1-5665-494B-9515-171A348C2328}">
      <text>
        <r>
          <rPr>
            <sz val="11"/>
            <color indexed="8"/>
            <rFont val="Calibri"/>
            <family val="2"/>
            <scheme val="minor"/>
          </rPr>
          <t>Free text field.
Geo-coordinates with 5 or 6 digits after a comma</t>
        </r>
      </text>
    </comment>
    <comment ref="H6" authorId="0" shapeId="0" xr:uid="{B438B05C-CB2B-4264-8B61-597363BA9EE3}">
      <text>
        <r>
          <rPr>
            <sz val="11"/>
            <color indexed="8"/>
            <rFont val="Calibri"/>
            <family val="2"/>
            <scheme val="minor"/>
          </rPr>
          <t>Free text field.</t>
        </r>
      </text>
    </comment>
    <comment ref="K6" authorId="0" shapeId="0" xr:uid="{F820F47C-EA2B-450C-8DCE-B0C49FAC160A}">
      <text>
        <r>
          <rPr>
            <sz val="11"/>
            <color indexed="8"/>
            <rFont val="Calibri"/>
            <family val="2"/>
            <scheme val="minor"/>
          </rPr>
          <t>Free text field.</t>
        </r>
      </text>
    </comment>
    <comment ref="L6" authorId="0" shapeId="0" xr:uid="{6EC9A87A-1550-49EC-85AB-46621AD76F9D}">
      <text>
        <r>
          <rPr>
            <sz val="11"/>
            <color indexed="8"/>
            <rFont val="Calibri"/>
            <family val="2"/>
            <scheme val="minor"/>
          </rPr>
          <t>Free text field.</t>
        </r>
      </text>
    </comment>
    <comment ref="M6" authorId="0" shapeId="0" xr:uid="{FE074976-260D-4F88-833F-6FC2DADEE689}">
      <text>
        <r>
          <rPr>
            <sz val="11"/>
            <color indexed="8"/>
            <rFont val="Calibri"/>
            <family val="2"/>
            <scheme val="minor"/>
          </rPr>
          <t>This  "Yes" or "No" question.
If "Yes", please, add  the respective information in columns N to P
If "No", then columns from N to P are N/A</t>
        </r>
      </text>
    </comment>
    <comment ref="N6" authorId="0" shapeId="0" xr:uid="{D730CF6E-D0EF-47D7-9DF9-459C2DA65CC6}">
      <text>
        <r>
          <rPr>
            <sz val="11"/>
            <color indexed="8"/>
            <rFont val="Calibri"/>
            <family val="2"/>
            <scheme val="minor"/>
          </rPr>
          <t>Applicable values: 
 1 = Airplane 
 2 = Bus/Car 
 3 = Train 
 4 = Boat/Ferry 
 5 = Other</t>
        </r>
      </text>
    </comment>
    <comment ref="O6" authorId="0" shapeId="0" xr:uid="{12321583-7C3D-4603-A1BF-7020181C115C}">
      <text>
        <r>
          <rPr>
            <sz val="11"/>
            <color indexed="8"/>
            <rFont val="Calibri"/>
            <family val="2"/>
            <scheme val="minor"/>
          </rPr>
          <t>Enter number only. 
 Example for 60 minutes: 
 60</t>
        </r>
      </text>
    </comment>
    <comment ref="P6" authorId="0" shapeId="0" xr:uid="{F2F77BE7-05C9-492F-8B54-D6064B3F20A4}">
      <text>
        <r>
          <rPr>
            <sz val="11"/>
            <color indexed="8"/>
            <rFont val="Calibri"/>
            <family val="2"/>
            <scheme val="minor"/>
          </rPr>
          <t>Use format: 
 dd/mm/yyyy</t>
        </r>
      </text>
    </comment>
    <comment ref="Q6" authorId="0" shapeId="0" xr:uid="{682AFB38-74F6-426E-B0EC-D47F849B8944}">
      <text>
        <r>
          <rPr>
            <sz val="11"/>
            <color indexed="8"/>
            <rFont val="Calibri"/>
            <family val="2"/>
            <scheme val="minor"/>
          </rPr>
          <t>Free text.</t>
        </r>
      </text>
    </comment>
    <comment ref="R6" authorId="0" shapeId="0" xr:uid="{7E83B2D7-A254-4F39-8C33-CDC24C30A85E}">
      <text>
        <r>
          <rPr>
            <sz val="11"/>
            <color indexed="8"/>
            <rFont val="Calibri"/>
            <family val="2"/>
            <scheme val="minor"/>
          </rPr>
          <t>Free text.</t>
        </r>
      </text>
    </comment>
    <comment ref="S6" authorId="0" shapeId="0" xr:uid="{B571C680-34C9-4A57-8DE6-333335609C99}">
      <text>
        <r>
          <rPr>
            <sz val="11"/>
            <color indexed="8"/>
            <rFont val="Calibri"/>
            <family val="2"/>
            <scheme val="minor"/>
          </rPr>
          <t>Free text.</t>
        </r>
      </text>
    </comment>
    <comment ref="T6" authorId="0" shapeId="0" xr:uid="{59666715-30DF-41FF-9666-62DB1236D8F4}">
      <text>
        <r>
          <rPr>
            <sz val="11"/>
            <color indexed="8"/>
            <rFont val="Calibri"/>
            <family val="2"/>
            <scheme val="minor"/>
          </rPr>
          <t>Free text.</t>
        </r>
      </text>
    </comment>
    <comment ref="U6" authorId="0" shapeId="0" xr:uid="{0988F3D7-44C3-4A80-AEEB-57F4F5E51B72}">
      <text>
        <r>
          <rPr>
            <sz val="11"/>
            <color indexed="8"/>
            <rFont val="Calibri"/>
            <family val="2"/>
            <scheme val="minor"/>
          </rPr>
          <t>Free text.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Auditor</author>
  </authors>
  <commentList>
    <comment ref="E5" authorId="0" shapeId="0" xr:uid="{E0EF3FF3-0897-4EAE-A97F-F288AFC11EF1}">
      <text>
        <r>
          <rPr>
            <sz val="9"/>
            <color indexed="81"/>
            <rFont val="Tahoma"/>
            <family val="2"/>
          </rPr>
          <t xml:space="preserve">Free text
</t>
        </r>
      </text>
    </comment>
    <comment ref="B7" authorId="1" shapeId="0" xr:uid="{7FDE9E58-8424-4862-B1D0-30497DB34A32}">
      <text>
        <r>
          <rPr>
            <sz val="11"/>
            <color indexed="8"/>
            <rFont val="Calibri"/>
            <family val="2"/>
            <scheme val="minor"/>
          </rPr>
          <t>A new row should be added for each site</t>
        </r>
      </text>
    </comment>
    <comment ref="B15" authorId="1" shapeId="0" xr:uid="{D075BA1C-547E-45C8-BEEB-ACCB9709EB00}">
      <text>
        <r>
          <rPr>
            <sz val="11"/>
            <color indexed="8"/>
            <rFont val="Calibri"/>
            <family val="2"/>
            <scheme val="minor"/>
          </rPr>
          <t>Every product in every PHU should populate a new row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Shubhangi</author>
  </authors>
  <commentList>
    <comment ref="H9" authorId="0" shapeId="0" xr:uid="{635DE794-7B58-4B2B-893B-8BCE7734EBC5}">
      <text>
        <r>
          <rPr>
            <sz val="9"/>
            <color indexed="81"/>
            <rFont val="Tahoma"/>
            <family val="2"/>
          </rPr>
          <t>Use the NIG in case available</t>
        </r>
        <r>
          <rPr>
            <sz val="9"/>
            <color indexed="81"/>
            <rFont val="Tahoma"/>
            <family val="2"/>
          </rPr>
          <t xml:space="preserve">
</t>
        </r>
      </text>
    </comment>
  </commentList>
</comments>
</file>

<file path=xl/sharedStrings.xml><?xml version="1.0" encoding="utf-8"?>
<sst xmlns="http://schemas.openxmlformats.org/spreadsheetml/2006/main" count="2556" uniqueCount="1184">
  <si>
    <t>This checklist is used for the audit checklist upload for the GLOBALG.A.P. database.</t>
  </si>
  <si>
    <t>(*) Mandatory entry</t>
  </si>
  <si>
    <t>Use multiple lines for "Key persons", "Auditors" and "Sites/PHUs".</t>
  </si>
  <si>
    <t xml:space="preserve">AuditID: </t>
  </si>
  <si>
    <t>IFA v6 Smart Aquaculture</t>
  </si>
  <si>
    <t xml:space="preserve">GGN*: </t>
  </si>
  <si>
    <t>Audited Company*:</t>
  </si>
  <si>
    <t>Reporting Option</t>
  </si>
  <si>
    <t>Please select</t>
  </si>
  <si>
    <t>Contact Person Name*</t>
  </si>
  <si>
    <t>Contact Person Surname*</t>
  </si>
  <si>
    <t>Email*</t>
  </si>
  <si>
    <t>Key persons present during the Audit, Name*</t>
  </si>
  <si>
    <t>Company*</t>
  </si>
  <si>
    <t>Position*</t>
  </si>
  <si>
    <t>Location of main site seen during the audit</t>
  </si>
  <si>
    <t>Company Profile (briefly describe company audited)</t>
  </si>
  <si>
    <t>Audit Date start*</t>
  </si>
  <si>
    <t>Audit Date end*</t>
  </si>
  <si>
    <t>General Notes on the audit</t>
  </si>
  <si>
    <t>Internal Notes on the audit</t>
  </si>
  <si>
    <t>Travel required between sites/PHUs (Y/N)?*</t>
  </si>
  <si>
    <t>Travel mode used</t>
  </si>
  <si>
    <t>Time (minutes)</t>
  </si>
  <si>
    <t>Travel Date</t>
  </si>
  <si>
    <t>GAIN</t>
  </si>
  <si>
    <t>Auditor Name</t>
  </si>
  <si>
    <t>Sites audited</t>
  </si>
  <si>
    <t>Site audited Start Date/Time</t>
  </si>
  <si>
    <t>Site audited End Date/Time</t>
  </si>
  <si>
    <t>Instructions</t>
  </si>
  <si>
    <t>The product registration in the GLOBALG.A.P. 
database is leading.</t>
  </si>
  <si>
    <t>Audit Details: IFA v6 Smart</t>
  </si>
  <si>
    <t>Audit type*
-Initial certification audit
-Audit for sites and members
-Surveillance audit for sites and members
-Subsequent audit
-Recertification audit
-Follow-up on-site audit
-Modification audit</t>
  </si>
  <si>
    <t>Where is the audit conducted?*
-On-site
-On-Site + Off-Site
-Off-site/Admin
-Remote</t>
  </si>
  <si>
    <t>How is the audit conducted?*
-Announced
-Unannounced &lt;48h
-Unannounced 0 h
-Randomly selected in case of option 2 members or site of an option 1 with QMS (GFS only)</t>
  </si>
  <si>
    <t>Does the audit take place in combination with any other standard or add-on? If so, indicate which standard or add-on.</t>
  </si>
  <si>
    <t>Sites Audited</t>
  </si>
  <si>
    <t>Site Type
-SITE
-PHU
-EXTERNAL_PHU (Subcontracted)</t>
  </si>
  <si>
    <t>Site Name</t>
  </si>
  <si>
    <t xml:space="preserve">Site Address </t>
  </si>
  <si>
    <t>Site Coordinates</t>
  </si>
  <si>
    <t>GFSI recognized (post-farm) certification at the time of the inspection? *
-Yes
-No</t>
  </si>
  <si>
    <t>HACCP recognized (post-farm) certification at the time of the inspection? *
-Yes
-No</t>
  </si>
  <si>
    <t>Products</t>
  </si>
  <si>
    <t>Additional Data or Variety (optional)</t>
  </si>
  <si>
    <t>Broodstock additionally purchased?</t>
  </si>
  <si>
    <t>Seedlings (ova) additionally purchased?
-Yes 
-No</t>
  </si>
  <si>
    <t>Seedlings (juvenile) additionally purchased?
-Yes 
-No</t>
  </si>
  <si>
    <t>Feed supplied (internally or externally)? 
-Yes 
-No</t>
  </si>
  <si>
    <t>PO, Production of certified and non-certified products
- Yes
- No</t>
  </si>
  <si>
    <t>PO, Ownership/Purchase of certified and non-certified products
- Yes 
- No</t>
  </si>
  <si>
    <t>Trade. Does the producer buy certified product from external sources
- Yes 
- No</t>
  </si>
  <si>
    <t>No use of antimicrobials for the last certification cycle?
-Yes 
-No</t>
  </si>
  <si>
    <t>Production system used for on-growing stage? 
- On/Off Bottom Cultures
- Ponds and Tanks
-Recirculating AQ Systems (RAS)
-Net Pens 
-N/A (hatcheries) 
 Other</t>
  </si>
  <si>
    <t>Countries of destination: one or multiple countries</t>
  </si>
  <si>
    <t>BroodstockInHouse</t>
  </si>
  <si>
    <t>Seedlings (ova) in-house, estimated organisms in no.</t>
  </si>
  <si>
    <t>Seedlings (juvenile) in-house, estimated organisms in no.</t>
  </si>
  <si>
    <t>Farmed aquatic species, annual quantity in metric tonnes at point of harvest</t>
  </si>
  <si>
    <t>Products 
 For PHUs</t>
  </si>
  <si>
    <t>Post harvest activity?
-Yes 
-No</t>
  </si>
  <si>
    <t>Products 
 For external PHUs (Subcontracted)</t>
  </si>
  <si>
    <t>PO, Production of certified and non-certified products 
- Yes
- No</t>
  </si>
  <si>
    <t>Products and activities observed during the audit*</t>
  </si>
  <si>
    <t>Has product handling been observed during the audit?
- Yes
- No</t>
  </si>
  <si>
    <t>If yes, of which products?</t>
  </si>
  <si>
    <t>List all products presented during the audit:</t>
  </si>
  <si>
    <t>Does the producer buy products from certified production processes from external sources?</t>
  </si>
  <si>
    <t>If yes, which products?</t>
  </si>
  <si>
    <t>Has the harvest of the products been seen during this CB audit?</t>
  </si>
  <si>
    <t>If yes, list products</t>
  </si>
  <si>
    <t>Disclaimer: Translation of normative documents: in case of doubt, the English version applies</t>
  </si>
  <si>
    <t>The correct values for the "Answers" column are: Text (Yes, No, N/A respectively)</t>
  </si>
  <si>
    <t>The "Justification" column is free text.</t>
  </si>
  <si>
    <t>The color of the cell reminds that this P&amp;C cannot be answered with "Not Applicable".</t>
  </si>
  <si>
    <t>In case of principles and criteria are "N/A" all questions shall be put "N/A" and the relevant principles and criteria that can not be selected as "N/A" shall be put on "Yes"</t>
  </si>
  <si>
    <t>The "Due date" column is mandatory for the P&amp;Cs with answer No and Major Must or Minor Must level.</t>
  </si>
  <si>
    <t>Standard</t>
  </si>
  <si>
    <t>Version</t>
  </si>
  <si>
    <t>Product Category</t>
  </si>
  <si>
    <t>Principle</t>
  </si>
  <si>
    <t>Section</t>
  </si>
  <si>
    <t>Description</t>
  </si>
  <si>
    <t>Criteria</t>
  </si>
  <si>
    <t>NIG</t>
  </si>
  <si>
    <t>Level</t>
  </si>
  <si>
    <t>Yes</t>
  </si>
  <si>
    <t>No</t>
  </si>
  <si>
    <t>N/A</t>
  </si>
  <si>
    <t>Answer Confirmation</t>
  </si>
  <si>
    <t>Method</t>
  </si>
  <si>
    <t>Inspection method</t>
  </si>
  <si>
    <t>Justification guide</t>
  </si>
  <si>
    <t>Justification</t>
  </si>
  <si>
    <t>Due date</t>
  </si>
  <si>
    <t>IFA</t>
  </si>
  <si>
    <t>IFA v6 Smart</t>
  </si>
  <si>
    <t>AQ</t>
  </si>
  <si>
    <t>AQ-Smart 01.01.01</t>
  </si>
  <si>
    <t>AQ 01 SITE HISTORY AND SITE MANAGEMENT</t>
  </si>
  <si>
    <t>The producer has a reference system for identifying sites used in production, other areas, and facilities.</t>
  </si>
  <si>
    <t>Compliance shall require visual identification in the form of: a physical sign and a farm map which also identifies the location of water sources, storage/handling facilities, production units, entry and exit points, etc., and that can be cross-referenced to the identification system.
No “N/A.”</t>
  </si>
  <si>
    <t>Major Must</t>
  </si>
  <si>
    <t>AQ-Smart 01.01.02</t>
  </si>
  <si>
    <t>A recording system is established for each production unit to provide a record of the production activities undertaken.</t>
  </si>
  <si>
    <t>Current records shall provide a history of GLOBALG.A.P. certified production at all production units. This shall be done either digitally or on paper.
No “N/A.”</t>
  </si>
  <si>
    <t>AQ-Smart 01.02.01</t>
  </si>
  <si>
    <t>A risk assessment is available for all sites registered for certification to evaluate whether the sites are suitable for continuing farming operations.</t>
  </si>
  <si>
    <t>A documented risk assessment to determine whether the sites (including rented land, structures, and equipment) are appropriate for production shall be available for all sites, considering aspects of food safety, the environment, and the health and welfare of farmed aquatic species. It shall be ready for the initial certification body (CB) audit and maintained, updated, and reviewed whenever new sites enter into production, when risks for existing ones have changed, or at least annually, whichever occurs first. The risk assessment may be based on a generic one but shall be customized to the farm situation.
A list of all activities potentially affecting the aquaculture farm shall be available with regard to: potential physical, chemical (including allergens), and biological hazards. Cross-reference with AQ 20.02.16 and AQ 20.02.18.</t>
  </si>
  <si>
    <t>AQ-Smart 01.02.02</t>
  </si>
  <si>
    <t>A management plan that establishes strategies for minimizing the risks identified in the risk assessment for operation suitability has been developed and implemented and is reviewed regularly.</t>
  </si>
  <si>
    <t>A management plan shall address the risks identified in AQ 01.02.01 and describe the hazard control procedures that justify that the site in question is suitable for production, ensuring sustainability and effectiveness. This plan shall be appropriate to farm operations, and there shall be evidence of its implementation. The plan shall address maintenance of grounds and areas within the site to prevent contamination. The plan shall be reviewed annually, or whenever changes occur that may impact the safety of food production and impact the food safety plan, whichever occurs first.</t>
  </si>
  <si>
    <t>AQ-Smart 01.02.03</t>
  </si>
  <si>
    <t>All structures are located, designed, and constructed to facilitate proper cleaning and pest control.</t>
  </si>
  <si>
    <t>Where appropriate, the design and layout shall permit compliance with good hygiene practices, including protection against cross contamination between and during operations. This requirement shall include all adjoining rooms, equipment, facilities, and feeding systems.
A program of self-assessments/internal audits shall be established, implemented, and maintained to ensure the sites and equipment are routinely maintained in a suitable condition to ensure food safety, as applicable to the activity of the site. Self-assessments/Internal audits can be at an interval determined by the producer in accordance with the assessed risk.</t>
  </si>
  <si>
    <t>AQ-Smart 01.03.01</t>
  </si>
  <si>
    <t>Farm management is able to demonstrate awareness at interview of compliance with legislation.</t>
  </si>
  <si>
    <t>In the interview, farm management shall be able to demonstrate how it fulfills its legal obligations with respect to the food safety, farmed aquatic species health and welfare, feed formulation, environment, biodiversity, and workers’ health and safety legislation applicable to its enterprise.
No “N/A.”</t>
  </si>
  <si>
    <t>AQ-Smart 01.03.02</t>
  </si>
  <si>
    <t>Aquaculture farms are registered as such with the relevant competent authority as required by national legislation for the specific farmed aquatic species.</t>
  </si>
  <si>
    <t>Registration and license documents shall be available. Examples include: seabed leases and consents for discharge of effluent and licenses/concessions from authority to grow a set biomass of aquaculture products or allocation of feed quota.
No “N/A.”</t>
  </si>
  <si>
    <t>AQ-Smart 02.01</t>
  </si>
  <si>
    <t>AQ 02 INTERNAL DOCUMENTATION</t>
  </si>
  <si>
    <t>In the initial phase (initial certification body (CB) audit) of application of the standard, site records demonstrate compliance with the standard for the last three months.</t>
  </si>
  <si>
    <t>Records shall be in place for the last three months demonstrating compliance sufficient to achieve GLOBALG.A.P. certification.
No “N/A.”</t>
  </si>
  <si>
    <t>AQ-Smart 02.02</t>
  </si>
  <si>
    <t>A documented system with procedures and work instructions covering all processes is available and implemented.</t>
  </si>
  <si>
    <t>Documented procedures and work instructions shall be available on the site demonstrating compliance with food safety, legal, and standard requirements, including supplier approval procedures.
No “N/A.”</t>
  </si>
  <si>
    <t>AQ-Smart 02.03</t>
  </si>
  <si>
    <t>The aquaculture farm and the production units have an organizational structure with defined responsibilities.</t>
  </si>
  <si>
    <t>A clear organizational structure identifying the job functions and responsibilities shall be established, implemented, and maintained. Workers whose activities have a potential impact on food safety shall be identified.
No “N/A.”</t>
  </si>
  <si>
    <t>AQ-Smart 02.04</t>
  </si>
  <si>
    <t>Geographical coordinates identify all operations of the farm.</t>
  </si>
  <si>
    <t>Geographical coordinates shall identify all sites where the actual aquatic operation takes place. The coordinates shall refer to the center of the production site (smaller sites; &lt;1 ha) or the corners of the contours of the production sites (larger sites; &gt;1 ha). The coordinates (degrees and minutes of latitude and longitude) shall be within an accuracy of two decimals in the geographical minutes (e.g., 15º22.65′ N; 22º43.78′ E) using the WGS-84 coordinate system.
No “N/A.”</t>
  </si>
  <si>
    <t>AQ-Smart 02.05</t>
  </si>
  <si>
    <t>Records for auditing purposes are up-to-date. Records are kept for a minimum period of two years, unless a longer period is required.</t>
  </si>
  <si>
    <t>The producer shall keep up-to-date records, including those relating to food safety, for a minimum of two years, or a longer period depending on customer or legal requirements. If the shelf life of the product exceeds two years, records shall be retained for a period that exceeds the shelf life. Electronic records shall be valid and if they are used, the producer shall be responsible for maintaining back-ups of the information.
Documents shall be securely stored, effectively controlled, and readily accessible. For the initial certification body (CB) audit, the producer shall keep records from at least three months prior to the date of the CB audit or from the day of registration, whichever is longer. New applicants shall have full records for each area covered by the registration with all of the activities related to GLOBALG.A.P. documentation required for this area. These records shall be available for the current cycle before the initial CB audit.
No “N/A.”</t>
  </si>
  <si>
    <t>AQ-Smart 02.06</t>
  </si>
  <si>
    <t>A procedure is in place to manage and control documents and records.</t>
  </si>
  <si>
    <t>A procedure describing the management of documented information shall be implemented and maintained. A method of tracking document changes shall be established to ensure workers are accessing the most recent version.</t>
  </si>
  <si>
    <t>AQ-Smart 02.07</t>
  </si>
  <si>
    <t>The producer completes a minimum of one self-assessment/internal audit annually to the standard.</t>
  </si>
  <si>
    <t>There shall be documented evidence that, in Option 1 individual producers, a self-assessment has been completed under the responsibility of the producer (this may be carried out by a person different from the producer).
Self-assessments shall include all applicable principles and criteria, even when a subcontracted company carries them out.
A documented self-assessment for individual producers shall contain comments regarding the evidence observed for all not applicable and non-compliant Major Must and Minor Must principles and criteria. For internal farm and quality management system (QMS) audits, comments shall follow “GLOBALG.A.P. general regulations – Rules for producer groups and multisite producers with QMS.”
The self-assessment shall be completed before the certification body (CB) audit (see “GLOBALG.A.P. general regulations – Rules for individual producers”).
No “N/A,” except for multisite producers with QMS and producer groups, which are covered by the internal QMS audit.</t>
  </si>
  <si>
    <t>AQ-Smart 02.08</t>
  </si>
  <si>
    <t>Effective corrective actions are taken to address non-conformances detected during the self-assessments/internal audits.</t>
  </si>
  <si>
    <t>Corrective actions shall be documented. Any necessary changes shall be implemented.
Compliance with all applicable Major Musts and at least 95% of applicable Minor Musts is required.
“N/A” only if no non-conformances are detected during self-assessments/internal audits.</t>
  </si>
  <si>
    <t>AQ-Smart 02.09</t>
  </si>
  <si>
    <t>A continuous improvement plan is documented.</t>
  </si>
  <si>
    <t>A continuous improvement plan based on self-assessments/internal audits and certification body (CB) audits shall be documented. Continuous improvements can be shown as a reduction in overall non-conformances during self-assessments/internal audits, evaluation of a root cause analysis, documented actions, or other applicable activities.</t>
  </si>
  <si>
    <t>AQ-Smart 02.10</t>
  </si>
  <si>
    <t>There is evidence that a continuous improvement plan is implemented.</t>
  </si>
  <si>
    <t>A continuous improvement plan based on self-assessments/internal audits and certification body (CB) audits shall be implemented. 
Continuous improvements can be shown as a reduction in overall non-conformances during self-assessments/internal audits, resource management plans documenting improvements, or other applicable activities.</t>
  </si>
  <si>
    <t>AQ-Smart 03.01</t>
  </si>
  <si>
    <t>AQ 03 HYGIENE</t>
  </si>
  <si>
    <t>The farm has a documented hygiene risk assessment.</t>
  </si>
  <si>
    <t>The documented hygiene risk assessment shall be appropriate to the activities taking place on the farm and shall be reviewed annually and updated when changes (e.g., other activities) occur.
No “N/A.”</t>
  </si>
  <si>
    <t>AQ-Smart 03.02</t>
  </si>
  <si>
    <t>Documented hygiene procedures are in place to minimize food safety risks.</t>
  </si>
  <si>
    <t>The farm shall have hygiene procedures addressing the risks identified in the risk assessment in AQ 03.01. The procedures shall include instructions visibly displayed for workers, visitors, and subcontractors. The instructions shall also be based on the results of the hygiene risk assessment in AQ 03.01 and shall include at a minimum:
- The requirement to wash hands
- The requirement to cover skin cuts
- Limitation on smoking, eating, and drinking to designated areas
- Immediate notification to management or supervisor of any relevant infections or conditions, including any signs of illness (fever, vomiting, jaundice, diarrhea, etc.), at which point these workers shall be restricted from direct contact with the product and food-contact surfaces
- Back-to-work procedure in the case of absence due to illness
- Notification of product contamination with bodily fluids
- The use of provided suitable protective clothing wherever the individuals’ activities might pose a risk of contamination to the product
No “N/A.”</t>
  </si>
  <si>
    <t>AQ-Smart 03.03</t>
  </si>
  <si>
    <t>The farm’s hygiene procedures are implemented, including visibly displayed hygiene instructions for all workers and visitors.</t>
  </si>
  <si>
    <t>Workers with tasks identified in the hygiene procedures shall demonstrate competence during interview, and there shall be visual evidence that the hygiene procedures are implemented, by way of clear signs (pictures) and/or in the relevant language(s) of the workforce. The effectiveness of the hygiene procedures in eliminating food safety risks shall be measured, based on the hygiene risk assessment in AQ 03.01. Cross-reference with AQ 20.02.09.
No “N/A.”</t>
  </si>
  <si>
    <t>AQ-Smart 04.01.01</t>
  </si>
  <si>
    <t>AQ 04 WORKERS’ WELL-BEING: OCCUPATIONAL HEALTH, SAFETY, AND WELFARE</t>
  </si>
  <si>
    <t>There is a documented risk assessment for workers’ health and safety.</t>
  </si>
  <si>
    <t>The documented risk assessment shall be appropriate to conditions on the farm, including the entire production process in the scope of certification. The risk assessment shall be reviewed and updated annually and when changes occur that impact workers’ health and safety. Examples may include but are not limited to: risk of zoonosis (animal-to-human transmission of diseases), diving operations, new machinery, new buildings, exposure to chemical substances including medicines and vaccines, modified farming practices, moving machine parts, power take-off, electricity, farm machinery and vehicle traffic, fires in farm buildings (including identifying any site hazardous, including with regard to fire, to any type of worker accommodation or resting area), excessive noise, dust, vibrations, extreme weather conditions, ladders, fuel storage, slurry tanks, etc.
No “N/A.”</t>
  </si>
  <si>
    <t>AQ-Smart 04.01.02</t>
  </si>
  <si>
    <t>The farm has health and safety procedures.</t>
  </si>
  <si>
    <t>The health and safety procedures shall address the points identified in the risk assessment for workers’ health and safety in AQ 04.01.01 and shall be appropriate to the farming operations. They shall also include accident and emergency procedures, including for workers’ accommodation or resting areas, as well as contingency plans that deal with any identified risks in the working situation, etc. The procedures shall be reviewed annually and updated when the risk assessment changes.
The farm infrastructure, facilities, and equipment shall be constructed and maintained to minimize health and safety risks for the workers.
Procedures shall comply with local health and safety regulations and ensure that only workers with at least minimum training operate equipment and enter confined spaces or enclosed areas with limited natural ventilation and/or where access and exit points are limited.
The farm shall have a procedure explaining how the workers, with reasonable justification, can remove themselves from unsafe work without fear of facing retaliation.
Whenever accidents occur, the root cause shall be identified and included in the risk assessment, and management shall define procedures to prevent the recurrence of similar incidents.</t>
  </si>
  <si>
    <t>AQ-Smart 04.01.03</t>
  </si>
  <si>
    <t>Diving operations are carried out in accordance with relevant legislation and in accordance with generally accepted principles for safe commercial diving practices.</t>
  </si>
  <si>
    <t>The producer shall demonstrate, via a documented risk assessment, that diving operations comply with the law and reflect best safe practices. At minimum, the operation shall comply with the requirements below:
1. Commercial diving operations shall be authorized by the appropriate authority, e.g., by a department of government (health and safety authority, maritime authority, labor authority, or harbor master). The compressors to fill the air tanks and facilities for tank testing shall likewise be authorized by an appropriate authority.
2. The testing and maintenance of the air tanks, breathing apparatus, compressors, and individual diving (decompression) computers shall be set out according to documented schedules.
3. Records of equipment maintenance, repair/replacement and individual diver logs shall be maintained and made available during the certification body (CB) audit.
4. Relevant worker responsibilities, training, and diving operations requirements:
4.1. One person is identified by name as the contractor’s or producer diving representative.
4.2. An appropriate number of diving supervisors are assigned to each diving project.
4.3. Responsibilities for ensuring safe diving have been clearly set and agreed with the farm, the diving representative, the diving supervisor(s), and the diver(s) and dive support team (e.g., boat crew).
4.4. Before the start of each dive project, the following shall be checked and recorded:
a. The diver’s experience, the status of their certified medical fitness and their certified dive qualifications
b. A risk assessment of the dive site and dive plan
c. Diving depth in relation to the breathing gases used
d. Expected dive duration
e. Water temperature (thermal stress risk)
f. Agreed methods of communication
g. Stand-by diver availability
h. Entrance and exit of the water; hazards on the surface
i. Safety of underwater tools
j. The location of the nearest decompression/hyperbaric facilities
k. Emergency procedures equipment, including oxygen supplies
l. First aid materials
4.5. After each project, a post-dive evaluation and diver feedback shall be recorded. The evaluation shall also consider whether changes in future practice can improve diver safety.</t>
  </si>
  <si>
    <t>AQ-Smart 04.01.04</t>
  </si>
  <si>
    <t>Workers have access to clean toilets, food storage areas, designated eating and rest areas, handwashing facilities, and drinking water.</t>
  </si>
  <si>
    <t>Toilets, handwashing facilities, potable drinking water, a place to store food, and a designated place to eat and rest shall be provided to the workers. Workers shall be able to use resting areas when needed and shall not be subject to restrictions except if a crisis arises.
No “N/A.”</t>
  </si>
  <si>
    <t>AQ-Smart 04.01.05</t>
  </si>
  <si>
    <t>Human waste from toilets is collected.</t>
  </si>
  <si>
    <t>Human waste shall be disposed of through sanitary sewage disposal systems that prevent contamination of the operational area and prevent direct release into open water systems as raw untreated sewage. The method of disposal shall be known and records of waste removal and collection shall be in place (refer to AQ 06.01.01).</t>
  </si>
  <si>
    <t>AQ-Smart 04.01.06</t>
  </si>
  <si>
    <t>All vessels have licenses and are fitted with safety equipment.</t>
  </si>
  <si>
    <t>The valid licenses and appropriate safety equipment shall be present as required by legislation in the country of operation.</t>
  </si>
  <si>
    <t>AQ-Smart 04.02.01</t>
  </si>
  <si>
    <t>Workers have received health and safety training according to the risk assessment.</t>
  </si>
  <si>
    <t>Workers, including subcontractors, shall demonstrate competence in responsibilities and tasks through visual observation (if possible, on the day of the certification body (CB) audit). There shall be evidence of instruction given in the appropriate language and training records. A suitably qualified person may conduct the health and safety training if training records and/or training material are available (i.e., the trainer need not be an outside individual). Training shall, where relevant, include at least:
- Chemical handling
- Machinery operation and failure emergency procedures
- Boat handling
- First aid, including training in CPR (cardiopulmonary resuscitation)
- Emergency procedures
- Personal hygiene
- Safety in water and diving
- Confined spaces (enclosed areas requiring worker entry where there is limited natural ventilation and/or where access and exit points are restricted)
- Mortalities handling (refer to AQ 04.01.01)
- Informing workers, that with reasonable justification, they shall remove themselves from unsafe work without fear of facing retaliation
- Information on or education about emergency and training in fire safety procedures
- Any other risk identified in the risk assessment
Evidence shall be available that all the above points were covered.
Cross-reference with AQ 04.01.01 and AQ 04.02.06.
Health and safety training shall be provided on a timely basis and repeated regularly.
Training shall also be repeated for new or reassigned workers and whenever there are changes in machinery, products, or procedures that may present new risks.
No “N/A.”</t>
  </si>
  <si>
    <t>AQ-Smart 04.02.02</t>
  </si>
  <si>
    <t>All persons on the farm have received hygiene training.</t>
  </si>
  <si>
    <t>An introductory training course for hygiene shall be given in both written and verbal form. New workers shall receive this training and confirm their participation. This training shall be appropriate to their activities and cover all instructions defined in AQ 03.02. All persons, including the owners and managers, shall annually participate in the farm’s basic hygiene training.</t>
  </si>
  <si>
    <t>AQ-Smart 04.02.03</t>
  </si>
  <si>
    <t>The hygiene training outlines the outcome of the risk assessment for hygiene, to be adopted by workers and visitors.</t>
  </si>
  <si>
    <t>Workers and visitors shall have annually read, reviewed, and signed for the farm’s hygiene procedure (based on the risk assessment for hygiene in AQ 03.01), which shall cover the requirements listed in the standard. Workers shall be able to demonstrate awareness at interview. The training shall include at least the following: the requirement for handwashing; the covering of skin cuts with waterproof adhesive bandage; confinement of smoking, eating, and drinking to the appropriate areas; notification of any relevant infections or conditions; the use of suitable protective clothing. Cross-reference with AQ 03.01.
No “N/A.”</t>
  </si>
  <si>
    <t>AQ-Smart 04.02.04</t>
  </si>
  <si>
    <t>Workers directly responsible for handling farmed aquatic species receive species-specific training in health, welfare, and handling techniques.</t>
  </si>
  <si>
    <t>Workers shall be able to demonstrate competence at interview. Training records and certificates for each worker (including their allocated functions or jobs) shall be in place and available for the certification body (CB) audit. Workers shall be able to demonstrate appropriate handling techniques and identify indicators of poor welfare, including but not limited to: signs of diseases, parasites, physical damage, behavioral abnormalities, morphological abnormalities, visual indicators of poor water quality, altered production parameters. As a minimum, training shall take place every five years.</t>
  </si>
  <si>
    <t>AQ-Smart 04.02.05</t>
  </si>
  <si>
    <t>Records of all training activities are kept.</t>
  </si>
  <si>
    <t>A record shall be kept for training activities, including the topic covered, the trainer, the date, and a list of the attendees, including evidence of attendance.
No “N/A.”</t>
  </si>
  <si>
    <t>AQ-Smart 04.02.06</t>
  </si>
  <si>
    <t>Where workers with special duties are identified and competence in their tasks shall be demonstrated, records are available.</t>
  </si>
  <si>
    <t>Workers handling and/or administering veterinary medicines, chemicals, disinfectants, biocides, and/or other hazardous substances and all workers operating dangerous or complex equipment as defined in the risk assessment in AQ 04.01.01 shall have evidence of competence or details of other such qualifications. Records shall identify workers who carry out such tasks and can demonstrate competence (certificate of training and/or records of training with evidence of attendance). This shall include compliance with applicable legislation.
Cross-reference with AQ 04.02.01. For workers administering medicines, evidence of adequate experience shall be in place.
No “N/A.”</t>
  </si>
  <si>
    <t>AQ-Smart 04.03.01</t>
  </si>
  <si>
    <t>Accident and emergency procedures are displayed and communicated.</t>
  </si>
  <si>
    <t>Instructions based on the accident and emergency procedures shall be clearly displayed in accessible and visible location(s) for workers, visitors, and subcontractors. A named person is assigned as responsible for such procedures. These instructions shall be available in the relevant language(s) of the workforce and/or in pictograms. The procedures shall be appropriate to the size and type of production and level of risk and take into account all applicable national legal requirements. Emergency evacuation equipment and survival gear (where required) shall be accessible and of sufficient quantity and quality.
The procedures shall identify the following:
- The farm address, map, or other location information (e.g., GPS coordinates)
- The contact person(s)
- An up-to-date list of relevant telephone numbers (police, ambulance, hospital, fire brigade, access to emergency health care on site or by means of transport, and the suppliers of electricity, water, and gas)
- Emergency evacuation procedures, where applicable
Examples of other procedures that can be included:
- The location of the nearest means of communication (telephone, radio)
- How and where to contact local medical services, hospitals, and other emergency services (Questions for contact with emergency services: WHERE did it happen? WHAT happened? HOW MANY injured people? WHAT kind of injuries? WHO is calling?)
- The location of fire extinguisher(s) at structures and all buildings (including worker accommodation) that are considered a potential fire risk
- The locations of emergency exits
- Emergency cut-offs for electricity, gas, fuel, and water lines
- How to record accidents and near misses and introduce preventive action
- How to deal with accidents involving chemicals following safety data sheets (SDSs)</t>
  </si>
  <si>
    <t>Minor Must</t>
  </si>
  <si>
    <t>AQ-Smart 04.03.02</t>
  </si>
  <si>
    <t>Warning signs identify all potential hazards, emergency exits, and escape routes.</t>
  </si>
  <si>
    <t>Permanent and legible signs shall indicate potential hazards, emergency exits, and escape routes. This shall include indicating, where applicable: ongoing treatments, waste pits, fuel tanks, workshops, warning signs in all buildings or permanent structures showing emergency exits, escape routes, safety equipment (fire extinguisher, washing facilities, etc.) and safety alarms (fire, CO2, evacuation, tornado, etc.) and access doors of the storage facilities for chemicals. Fire exits and escape routes shall be kept open, accessible, and clear of obstacles to permit safe evacuation in case of an emergency. Warning signs shall be present and in the predominant language(s) of the workforce and/or in pictograms.
No “N/A.”</t>
  </si>
  <si>
    <t>AQ-Smart 04.03.03</t>
  </si>
  <si>
    <t>Safety advice for substances hazardous to workers’ health and safety is immediately available and accessible.</t>
  </si>
  <si>
    <t>Emergency information (website, telephone number, safety data sheet, etc.) on each hazardous substance shall be available and accessible in the appropriate locations.
Cross-reference with AQ 19.01.02.</t>
  </si>
  <si>
    <t>AQ-Smart 04.03.04</t>
  </si>
  <si>
    <t>First aid kits are accessible at all permanent sites and fields near the work.</t>
  </si>
  <si>
    <t>Complete and maintained first aid kits (i.e., complete and maintained according to local recommendations and appropriate to the activities being carried out) shall be available and accessible at all permanent sites and present in selected transport means (vessel, vehicle, etc.) where required by the risk assessment in AQ 04.01.01.</t>
  </si>
  <si>
    <t>AQ-Smart 04.03.05</t>
  </si>
  <si>
    <t>There is always at least one person trained in first aid present on the farm whenever on-farm activities are being carried out.</t>
  </si>
  <si>
    <t>There shall always be at least one person trained in first aid (with valid training certificate) present on the farm whenever on-farm activities are being carried out.</t>
  </si>
  <si>
    <t>AQ-Smart 04.04.01</t>
  </si>
  <si>
    <t>Workers, visitors, and subcontractors are equipped with suitable personal protective equipment (PPE).</t>
  </si>
  <si>
    <t>Complete sets of suitable PPE, enabling compliance with label instructions and/or legal requirements and/or requirements as authorized by a competent authority, shall be available on the farm, utilized, and in a good state of repair.
Complying with label requirements and/or requirements in the risk assessment for on-farm operations may include use of some of the following: rubber boots or other appropriate footwear, waterproof clothing, protective overalls, rubber gloves, face masks, appropriate respiratory equipment (including replacement filters), ear and eye protection devices, life-jackets, etc.
There shall be evidence that the provided PPE is used by the workers.
No “N/A.”</t>
  </si>
  <si>
    <t>AQ-Smart 04.04.02</t>
  </si>
  <si>
    <t>Personal protective equipment (PPE) is maintained in clean conditions and stored appropriately so as not to pose any contamination risk to personal items.</t>
  </si>
  <si>
    <t xml:space="preserve">PPE shall be kept clean according to the type of use and degree of potential contamination and stored in a ventilated place. Protective clothing shall be laundered separately from personal clothing. Reusable gloves shall be washed before removal. Dirty and damaged PPE and expired filter cartridges shall be disposed of appropriately. Single-use items (gloves, overalls, etc.) shall be disposed of after one use. PPE shall be stored in a manner that prevents cross contamination with chemicals.
No “N/A.”
</t>
  </si>
  <si>
    <t>AQ-Smart 04.05.01</t>
  </si>
  <si>
    <t>A member of the management is clearly identifiable as responsible for the workers’ health, safety, and welfare.</t>
  </si>
  <si>
    <t>Documentation shall be available that clearly identifies and names the member of management who is responsible for ensuring compliance with and implementation of existing, current, and relevant national and local regulations on workers’ health, safety, and welfare.</t>
  </si>
  <si>
    <t>AQ-Smart 04.05.02</t>
  </si>
  <si>
    <t>There is communication between management and workers on issues related to their health, safety, and welfare.</t>
  </si>
  <si>
    <t>Records shall show that communication between management and workers about health, safety, and welfare issues can take place openly (i.e., without fear of intimidation or retaliation) and at least once a year.
- It shall be emphasized to workers that, with reasonable justification, they shall remove themselves from unsafe work. The use of this right in good faith shall eliminate any retaliation or consequence to the workers.
- If accidents, near misses, or other dangerous incidents occur, they shall be reported and the cause determined and discussed with the workers.
- Management shall define corrective actions to prevent recurrence of similar incidents and clearly explain the corrective actions to the workers.
- Workers shall explain to management situations where they feel exposed to risk.
- Management shall explain procedures for eliminating or reducing risk detected by workers.
The certification body (CB) auditor is not required to make judgments about the content, accuracy, or outcome of such communications. There shall be evidence that the concerns of the workers about health, safety, and welfare are being addressed.</t>
  </si>
  <si>
    <t>AQ-Smart 04.05.03</t>
  </si>
  <si>
    <t>On-site living quarters are compliant with applicable local regulations, habitable, and equipped with basic services and facilities.</t>
  </si>
  <si>
    <t>The on-site living quarters for the workers shall be habitable and have a sound roof, windows, and doors, as well as the basic services of potable water, hygienic toilets, cooking facilities, and drains. At a minimum, the quarters shall comply with the local health and safety regulations.
Living quarters shall be away from any chemical hazards (including fire hazards, inflammable substances or hazards, etc.), biological hazards (mold, sewage, etc.), and physical hazards (noise, radiation, poor ventilation, extreme temperatures, etc.) identified in the risk assessment.
If there are no drains, septic pits may be acceptable if compliant with local regulations.</t>
  </si>
  <si>
    <t>AQ-Smart 04.05.04</t>
  </si>
  <si>
    <t>Transportation provided to workers is safe.</t>
  </si>
  <si>
    <t>Transportation shall be safe for workers and take into account applicable safety requirements and regulations.</t>
  </si>
  <si>
    <t>AQ-Smart 04.05.05</t>
  </si>
  <si>
    <t>The producer is compliant with the GRASP v2 add-on (assessed by the same certification body (CB) conducting the audit for the Integrated Farm Assurance (IFA) standard for aquaculture).</t>
  </si>
  <si>
    <t>The producer shall be compliant with the GRASP v2 add-on, covering all stages of production included under the certification: hatchery, grow-out, and any post-harvest handling done by the same legal entity as the farm.
Regarding subcontractors, refer to the GRASP v2 general rules.
A compliant GRASP v2 result shall be required in order to be in compliance with AQ 04.05.05 and to receive GLOBALG.A.P. certification for the IFA standard for aquaculture. This applies for all farmed aquatic species, regardless of whether destined to be labeled or only having valid GLOBALG.A.P. certification.
No “N/A.”</t>
  </si>
  <si>
    <t>AQ-Smart 05.01</t>
  </si>
  <si>
    <t>AQ 05 OUTSOURCED ACTIVITIES (SUBCONTRACTORS)</t>
  </si>
  <si>
    <t>The producer ensures that outsourced activities comply with the principles and criteria of the standard which are relevant to the services provided.</t>
  </si>
  <si>
    <t>The producer shall verify that tasks performed by subcontractors are compliant with the relevant principles and criteria of this standard. This verification shall be recorded and made available during the certification body (CB) audit.
Based on the subcontractor services:
i) GLOBALG.A.P. approved CB is allowed to verify compliance through a physical assessment, or
ii) A GLOBALG.A.P. approved CB may assess the subcontractor directly. The subcontractor shall receive a letter of conformance from the CB with the following information:
1) Date of CB assessment 
2) Name of the CB
3) Auditor name
4) Details of the subcontractor
5) List of the assessed principles and criteria
Other certificates issued to subcontractors against standards that are not officially recognized by GLOBALG.A.P. are not valid evidence of compliance with GLOBALG.A.P.
All subcontractors physically handling live farmed aquatic species shall have evidence of animal welfare training. Any activity performed by subcontractors shall follow legislation, including when outside the farm (subcontracted companies removing waste, sludge, old equipment, etc.).</t>
  </si>
  <si>
    <t>AQ-Smart 06.01.01</t>
  </si>
  <si>
    <t>AQ 06 ENVIRONMENTAL AND BIODIVERSITY MANAGEMENT</t>
  </si>
  <si>
    <t>Waste products and sources of pollution are identified and classified in all areas of the farm.</t>
  </si>
  <si>
    <t>Possible waste products (paper, cardboard, plastic, oil, etc.) and pollution (exhaust smoke, oil, fuel, noise, effluent, chemicals, feed waste, algae produced during net cleaning, etc.) produced by the farm processes have been listed.
Waste products shall be identified and classified by:
- type
- methods of storage
- disposal
- recycling
- reuse 
Documented evidence shall be available.</t>
  </si>
  <si>
    <t>AQ-Smart 06.02.01</t>
  </si>
  <si>
    <t>A comprehensive, current, and documented waste management system is implemented.</t>
  </si>
  <si>
    <t>A comprehensive, current, and documented waste management system that covers waste reduction, pollution, and waste recycling shall be available. Air, soil, and water contamination shall be considered where relevant, along with all products and sources identified (organic and inorganic). The waste management system shall include the list of the products and for each of them, the intended reuse/recycle/disposal methods, and where relevant the frequency of collection and removal. The waste management system shall be part of the environmental management plan (EMP).</t>
  </si>
  <si>
    <t>AQ-Smart 06.02.02</t>
  </si>
  <si>
    <t>The site is kept in a tidy and orderly condition.</t>
  </si>
  <si>
    <t>Visual assessment shall show that waste and litter are stored in the designated locations (tanks, bins, others). Incidental waste is acceptable as well as waste from the current day’s work.</t>
  </si>
  <si>
    <t>AQ-Smart 06.02.03</t>
  </si>
  <si>
    <t>Holding areas for diesel and other fuel oil tanks are environmentally safe.</t>
  </si>
  <si>
    <t>Holding areas shall be maintained in manner that mitigates risks to the environment. The minimum requirement is a bunded area, which shall be impervious and be able to contain at least 150% of the largest tank stored within it. There shall be no-smoking signs displayed and appropriate fire emergency provisions made nearby.</t>
  </si>
  <si>
    <t>AQ-Smart 06.03.01</t>
  </si>
  <si>
    <t>An environmental impact assessment (EIA) and an environmental risk assessment (ERA), both including biodiversity, are in place.</t>
  </si>
  <si>
    <t>An EIA and an ERA, both including biodiversity, shall be reviewed and shall be updated following relevant changes in the farm operations with respect to environmental threats. Legal compliance on all issues shall be demonstrated. Please refer to guideline AQ I, "Examples of environmental impact assessment (EIA), environmental risk assessment (ERA), and respective environmental management plans (EMPs)" and to guideline AQ II, “Biodiversity in environmental impact assessment” and guideline AQ III, “Environmental parameters of relevance based on the aquaculture system used.”
Qualified persons who can show documented evidence of their competence shall prepare the ERA. Minimum requirements for an EIA shall include the evaluation of the following. If there is no monitoring of some of these parameters, the farm shall properly justify why is not applicable.
Effluent
- Effluent dissolved oxygen (DO)
- Effluent ratio BOD5/COD (biochemical oxygen demand/chemical oxygen demand)
- Effluent Kjeldahl nitrogen, nitrate, and nitrite load
- Effluent phosphorus load: feed and fertilizers
- Effluent suspended solids load
- Salinity
- pH 
Other waste
- Disposal of solid wastes and litter
- Use and legal disposal of all chemical compounds (refer to AQ 19.02), including pharmaceuticals 
- Emission of light, sound, and vibrations
- Emission of exhaust gases
Requirements for an ERA may be, but are not restricted to, the following processes that do not normally occur, but may happen accidentally during the course of operations:
- Accidental spill during storage and handling of chemical compounds and fuels
- Emissions resulting from fire and fire extinguishing
- Escapes of farmed aquatic species, including seedlings (eggs, larvae, others) and their parasites
- Release of pathogens and/or disinfectants
- Salinization of groundwater and freshwater bodies
- Temporary exceeding of water discharge limits
- Disposal of water used for washing and cleaning purposes
No “N/A.”</t>
  </si>
  <si>
    <t>AQ-Smart 06.03.02</t>
  </si>
  <si>
    <t>A biodiversity-inclusive environmental management plan (EMP) has been developed, setting out strategies to minimize all effects on the environment.</t>
  </si>
  <si>
    <t>An EMP, including biodiversity and based on the environmental impact assessment (EIA) in AQ 06.03.01 and the risk assessment in AQ 01.02.01, shall have been developed, setting out strategies to minimize all effects on the environment.
It shall incorporate a regular environmental monitoring program, including the frequency of the parameters established to be measured.
The records of disposal and emission shall demonstrate both legal compliance and accordance with the biosecurity plan (refer to AQ 20.08.01).
Refer to guideline AQ III, “Environmental parameters of relevance based on the aquaculture system used,” where detailed guidance based on farming systems is provided.
No “N/A.”</t>
  </si>
  <si>
    <t>AQ-Smart 06.03.03</t>
  </si>
  <si>
    <t>There is no significant negative impact on the biodiversity of the benthic fauna and/or recipient water body sediment/water column.</t>
  </si>
  <si>
    <t>For all farming systems, monitoring of benthic biodiversity, chemical indicators, and possible accumulation of chemical residues or organic waste in the recipient water body sediment shall take place. Type of analysis and monitoring frequency shall be determined based on the risks identified in the environmental impact assessment (EIA) (refer to AQ 06.03.01) and applicable legislation.
Analysis results shall be available for the certification body (CB) audit, and the evidence provided shall show that there is no significant negative impact on the biodiversity of the benthic fauna and/or recipient water body sediment/water column.
If a farmer considers that they may be exempted from benthic monitoring (e.g., due to the type of seabed substrate or water depth), they shall present evidence to support this position.</t>
  </si>
  <si>
    <t>AQ-Smart 06.03.04</t>
  </si>
  <si>
    <t>There is further evaluation to show that there is no significant negative impact on the biodiversity of the benthic fauna and/or recipient water body sediment/water column.</t>
  </si>
  <si>
    <t>A biological quality evaluation based on macro fauna should provide insight on the potential impact.
As a precautionary rule, effluents shall be treated before discharge.</t>
  </si>
  <si>
    <t>Recommendation</t>
  </si>
  <si>
    <t>AQ-Smart 06.04.01</t>
  </si>
  <si>
    <t>Water abstraction and discharge meet the requirements set by the competent authority and do not pose a risk to local communities and natural biodiversity.</t>
  </si>
  <si>
    <t>The records of discharge licenses and abstraction rights for each site, plus records of abstraction amounts taken over 12 months, shall be available. The producer shall show evidence that the farming activities do not pose a risk to desiccation-sensitive biodiversity and do not limit access to household water for the local community.</t>
  </si>
  <si>
    <t>AQ-Smart 06.04.02</t>
  </si>
  <si>
    <t>The communities surrounding the farm have access to fishing areas, where applicable.</t>
  </si>
  <si>
    <t>The producer shall show evidence by means of documents (maps, official authorizations, licenses, regulations, stakeholder consultation, etc.) that communities are allowed to fish in a well-defined area around the aquaculture infrastructures (net cages, rope cultures, inlet pumping stations, etc.).</t>
  </si>
  <si>
    <t>AQ-Smart 06.04.03</t>
  </si>
  <si>
    <t>Inlet/outlet water quality is in compliance with existing local regulations and requirements of the environmental impact assessment (EIA)/environmental management plan (EMP).</t>
  </si>
  <si>
    <t>The sampling results, sampling plan (frequency and location of where samples are taken), and records of appropriate corrective actions following evaluation of inlet/outlet water quality shall be available for the certification body (CB) audit. Refer to guideline AQ III, “Environmental parameters of relevance based on the aquaculture system used.”</t>
  </si>
  <si>
    <t>AQ-Smart 06.04.04</t>
  </si>
  <si>
    <t>Fresh groundwater and/or potable water is not used to lower the salt concentration of farm water.</t>
  </si>
  <si>
    <t>Well water or potable water should not be used to lower the salt concentration of farm water.</t>
  </si>
  <si>
    <t>AQ-Smart 06.04.05</t>
  </si>
  <si>
    <t>Water quality – in all storage systems – is verified as adequate for its uses.</t>
  </si>
  <si>
    <t>Indoor primary production facilities and any other water storage systems shall maintain a supply of water fit for its intended purposes. The water in all storage systems shall not compromise food safety, handwashing, equipment, and post-harvest washing.</t>
  </si>
  <si>
    <t>AQ-Smart 06.04.06</t>
  </si>
  <si>
    <t>Measured impacts of effluents are in accordance with legislation and with the prescriptions of the environmental impact assessment (EIA)/environmental management plan (EMP).</t>
  </si>
  <si>
    <t>It is the responsibility of the producer to ensure that no process impacting the recipient water exceeds targets in the EMP. Farm management shall be able to demonstrate compliance and knowledge of legislation in the interview. The records and discharge permits, which shall be valid and operating within limits at each site, shall be in place. It shall be possible to monitor progress.</t>
  </si>
  <si>
    <t>AQ-Smart 07.01.01</t>
  </si>
  <si>
    <t>AQ 07 CONSERVATION</t>
  </si>
  <si>
    <t>The producer has a wildlife management and conservation plan that acknowledges the impact of farming activities (including possible escapes) on the environment.</t>
  </si>
  <si>
    <t>There shall be a documented action plan that aims to enhance habitats and maintain biodiversity, aiming for zero escapes. This can be either an individual plan or a regional activity that the farm participates in or is covered by. The action plan shall pay special attention to areas of environmental interest being protected and make reference to legal requirements, where applicable.</t>
  </si>
  <si>
    <t>AQ-Smart 07.01.02</t>
  </si>
  <si>
    <t>The producer considers how to enhance the environment for the benefit of the local community and flora and fauna with a policy that is compatible with sustainable commercial aquaculture production, striving to minimize environmental impact.</t>
  </si>
  <si>
    <t>There should be tangible actions and initiatives that can be demonstrated:
1) By the producer on the production site, at local scale, or at regional scale
2) By participation in a group that is active in environmental support schemes concerned with habitat quality and habitat elements.
There should be a commitment within the conservation plan to conduct a baseline evaluation of the current levels, location, condition, etc. of the fauna and flora on the farm, so as to enable actions to be planned. Within the conservation plan, there should also be a clear list of priorities and actions for enhancing habitats for fauna and flora where viable and for increasing biodiversity on the farm.</t>
  </si>
  <si>
    <t>AQ-Smart 07.02.01</t>
  </si>
  <si>
    <t>The producer performs a risk assessment to evaluate whether predator preventive nets are required.</t>
  </si>
  <si>
    <t>A risk assessment shall be performed, with results determining whether predator nets may be required, which size would restrict access to the farmed stock, and how to avoid entanglement of the farmed aquatic species. Refer to AQ 20.02.14 on risk assessment for animal welfare.</t>
  </si>
  <si>
    <t>AQ-Smart 07.02.02</t>
  </si>
  <si>
    <t>If nets are required, there is in place a regular net and predator net checking system used to reduce negative interaction with the wildlife.</t>
  </si>
  <si>
    <t>The records and management system for nets shall be in place to prove that they exist and operate to reduce negative interactions with the wildlife. Interviews with workers shall be taken in account for justified records.</t>
  </si>
  <si>
    <t>AQ-Smart 07.02.03</t>
  </si>
  <si>
    <t>Implemented predator control techniques avoid any type of lethal interaction with the wildlife.</t>
  </si>
  <si>
    <t>An effective predator control plan shall be in place, using exclusion measures and/or scaring devices.
Documented anti-predator methods shall be in accordance with relevant legislation and codes of practice, including legislation on endangered species.
If all nonlethal control options have been exhausted, lethal dispatch of predators (if workers’ safety is in danger, to avoid significant suffering or mortality among farmed aquatic species, as an act of mercy, etc.) is within the constraints of legislation. The producer shall record all lethal dispatches of predators (number of animals and species). A legal permit allowing lethal dispatch shall be available.
Lethal dispatch of predators shall be performed humanely.</t>
  </si>
  <si>
    <t>AQ-Smart 07.03.01</t>
  </si>
  <si>
    <t>The environmental management plan (EMP) includes a contingency plan and a standard operating procedure to avoid escape of farmed aquatic species into the sea or local freshwater course.</t>
  </si>
  <si>
    <t>Procedures to avoid escapes shall be in place, paying special attention to climate change and taking into account site history.
- Precautions shall be in place to prevent the erosion of dams or channels that could lead to subsequent escapes.
- The infrastructure shall be calculated for high flood levels. Evidence of high flood levels in calculations shall be presented.
- Additional infrastructure to prevent escapes shall be part of the preventive measures.
- The EMP shall include a contingency plan.
The contingency plans and records of all escaped stock for the previous certification cycle shall be available, along with confirmation that all escapes have been reported to the authorities for all sites. Information reported to the authorities shall include biomass, health status, and any food safety risk associated with the escaped farmed aquatic species.
The hatchery/farm shall have an effective and documented procedure for preventing accidental release of the farmed aquatic species into the environment. Where applicable, pen structures and moorings shall be inspected according to a documented schedule based on the risk assessment. Routine maintenance, and repair procedures as necessary, shall be performed and recorded.
Contingency plans should include plans for recapturing escaped farmed aquatic species.</t>
  </si>
  <si>
    <t>AQ-Smart 07.04.01</t>
  </si>
  <si>
    <t>The sites or related facilities have not been established within a designated national protected area (PA), in PAs with The International Union for Conservation of Nature (IUCN) categories Ia, “Strict Nature Reserve” through to IV, “Habitat/Species Management Area,” or in areas defined under international conventions (such as Ramsar or World Heritage). If farm facilities are within PA IUCN category V or VI, consent of the PA management is required.</t>
  </si>
  <si>
    <t>There shall be evidence that the farm site or related facilities are not within a PA. “The World Database on Protected Areas (WDPA)” is the most complete compilation of protected areas data available. The datasets are available as free downloads at http://www.protectedplanet.net. Evidence shall include: geographic location provided at registration. If present within PA category V or VI, the certification body (CB) auditor shall contact PA authorities to establish if the site is in line with the management objectives of the PA. Information shall be made public. See guideline AQ IV, “The Ramsar convention on wetlands.”</t>
  </si>
  <si>
    <t>AQ-Smart 07.04.02</t>
  </si>
  <si>
    <t>New ponds, sites, or related facilities have not been established (before April 2008) in areas that were previously within a mangrove ecosystem, within the natural intertidal zone, or a high conservation value area.</t>
  </si>
  <si>
    <t>If the farm facilities were built after April 2008, there shall be evidence that the area was not previously part of a mangrove ecosystem, within the natural intertidal zone, or a high conservation value area (categories I–IV) before April 2008. Evidence shall be checked within the environmental impact assessment (EIA) (including biodiversity) and shall include: record of land use/status and habitat types prior to farm building, presence/absence of IUCN red list species, remote sensing/satellite imagery. The information shall be made public.</t>
  </si>
  <si>
    <t>AQ-Smart 07.04.03</t>
  </si>
  <si>
    <t>Farms established between May 1999 and April 2008 within mangroves, the natural intertidal zone, or a high conservation value area show evidence that they are in the process of being retired, rehabilitating the area, and, if necessary, compensating surrounding communities. From the date of first certification, a maximum of three years is allowed to complete the retirement and rehabilitation process, after which new locations (if any, outside these areas) may be considered for certification.</t>
  </si>
  <si>
    <t>There shall be a documented rehabilitation plan containing at least the objective(s), time frame, means, activities, expected output, and financing and compensation provisions in agreement with local communities. Evidence of recent funding of rehabilitation (plans) shall be available. The information shall be made public. Refer to the Convention on Wetlands (Ramsar) – Resolution VII.21, “Enhancing the conservation and wise use of intertidal wetlands” (adopted at the seventh Meeting of the Conference of the Contracting Parties to the Convention on Wetlands, San José, Costa Rica, 10–18 May 1999), article 15, “Contracting Parties to suspend the promotion, creation of new facilities, and expansion of unsustainable aquaculture activities harmful to coastal wetlands.”</t>
  </si>
  <si>
    <t>AQ-Smart 07.04.04</t>
  </si>
  <si>
    <t>Farms within the intertidal zone, mangrove, or high conservation value areas improve the environment through management and restoration, retiring non-compliant ponds, and increasing productivity of remaining farm areas above the intertidal zone.</t>
  </si>
  <si>
    <t>There shall be in place a documented restoration plan containing at least the objective(s), means, activities, expected output, and financing and compensation provisions in agreement with local communities. Evidence of recent funding of restoration (plans) shall be available if operations are in mangroves or intertidal zones.</t>
  </si>
  <si>
    <t>AQ-Smart 07.04.05</t>
  </si>
  <si>
    <t>Mangroves are removed under prescribed purposes only.</t>
  </si>
  <si>
    <t>The removal of mangrove vegetation shall be allowed only for channels or piping that service sites above the intertidal zones, and when official permits of the public sector have been granted and a rehabilitation plan is part of the permit.
Restoration of removed mangroves shall be equal to or exceed the area removed and shall replicate the diversity of species removed.</t>
  </si>
  <si>
    <t>AQ-Smart 07.04.06</t>
  </si>
  <si>
    <t>There is a rehabilitation plan in place for when a site operation within mangroves or other sensitive ecosystems is retired.</t>
  </si>
  <si>
    <t>There shall be in place a documented rehabilitation plan for when operations in mangroves or other sensitive ecosystems are retired. The plan shall contain at least objective(s), means, activities, expected output and financing.
Restoration of removed mangroves shall be equal to or exceed the area removed and shall replicate the diversity of species removed.</t>
  </si>
  <si>
    <t>AQ-Smart 07.05.01</t>
  </si>
  <si>
    <t>Consideration has been given to the conversion of unproductive sites.</t>
  </si>
  <si>
    <t>There should be a plan to convert unproductive sites and identified ecologically prioritized areas (low-lying wetlands, woodlands, headland strips, or areas of impoverished soil, etc.) into conservation areas, where viable, or into ecological focus areas for the encouragement of natural flora and fauna.</t>
  </si>
  <si>
    <t>AQ-Smart 07.06.01</t>
  </si>
  <si>
    <t>On-farm energy use is monitored.</t>
  </si>
  <si>
    <t>There shall be records of on-farm energy use (e.g., invoices detailing energy consumption). The producer shall be aware of where and how energy is consumed on the farm and through farming practices. Trend analysis of energy use shall be available (listed per cycle and per biomass).</t>
  </si>
  <si>
    <t>AQ-Smart 07.06.02</t>
  </si>
  <si>
    <t>Based on the results of the monitoring, there is a plan to improve energy efficiency on the farm.</t>
  </si>
  <si>
    <t>A documented plan identifying opportunities to improve energy efficiency shall be available (implementing insulation where needed, revising transport planning to optimize use of energy, etc.).</t>
  </si>
  <si>
    <t>AQ-Smart 07.06.03</t>
  </si>
  <si>
    <t>The plan to improve energy efficiency considers minimizing the use of nonrenewable energy where possible.</t>
  </si>
  <si>
    <t>The producer shall consider reducing the use of nonrenewable energy to the lowest possible and using renewable energy instead. Identification of renewable energy sourcing possibilities shall be available. The use of wood chips shall be taken with caution, as no forests shall be cut to produce them.</t>
  </si>
  <si>
    <t>AQ-Smart 08.01</t>
  </si>
  <si>
    <t>AQ 08 COMPLAINTS</t>
  </si>
  <si>
    <t>A complaint procedure relating to both internal and external issues covered by the standard is available and implemented.</t>
  </si>
  <si>
    <t>A documented complaint procedure shall be available to facilitate the recording and follow-up of all received complaints relating to issues covered by the standard and to record actions taken with respect to such complaints.
In the case of producer groups, the producer group members do not need the complete complaint procedure, but only the parts that are relevant to them. If the producer is informed by a competent and or local authority that they are under investigation and/or has received a sanction within the scope of the certification, the complaint procedure shall require the producer to notify the GLOBALG.A.P. Secretariat via the certification body (CB).
In the case of complaints related to the standard (food safety, workers’ well-being, environmental protection, animal welfare, etc.) that can endanger the reputation and credibility of the GLOBALG.A.P. brand, the certificate holder shall inform the CB immediately.
No “N/A.”</t>
  </si>
  <si>
    <t>AQ-Smart 09.01</t>
  </si>
  <si>
    <t>AQ 09 RECALL AND WITHDRAWAL PROCEDURE</t>
  </si>
  <si>
    <t>Documented procedures are in place to manage the recall and withdrawal of products originating from certified production processes from the marketplace, and such procedures are tested annually.</t>
  </si>
  <si>
    <t>The producer shall have a documented procedure that identifies:
- The types of events that may result in a recall and withdrawal
- The persons responsible for making decisions on the possible recall and withdrawal
- The mechanism for notifying the next step in the supply chain
- The notification of relevant authorities when required
- Steps taken to contact the certification body (CB), which in turn may contact the GLOBALG.A.P. Secretariat
- The methods for reconciling stock
The procedure shall be tested annually for effectiveness and the results of the mock recall shall be recorded (e.g., selecting a lot and demonstrating that it can be effectively traced forward to the customer).
Actual communications of the mock recall to the clients are not necessary. An up-to-date list of telephone numbers and email addresses is sufficient.
If an actual recall and withdrawal occurred during the past year, documentation of these shall be provided for compliance.</t>
  </si>
  <si>
    <t>AQ-Smart 10.01</t>
  </si>
  <si>
    <t>AQ 10 FOOD DEFENSE</t>
  </si>
  <si>
    <t>A food defense system is in place to address risks associated with malicious attack or contamination.</t>
  </si>
  <si>
    <t>The system shall include:
- A risk assessment to identify potential threats to the safety of products, taking into account risks from deliberate attempt to inflict contamination or damage
- A documented food defense plan to specify the measures to control any risks identified in the risk assessment
- Consideration of identification of tampering to the premises and products, monitoring of external storage and intake points, controlled access where relevant, receiving inputs from safe sources, and having available information for all employees and subcontractors
- Worker, visitor, and subcontractor awareness of the need to support food defense measures, ensured through training, signs, pictograms, etc.</t>
  </si>
  <si>
    <t>AQ-Smart 11.01</t>
  </si>
  <si>
    <t>AQ 11 GLOBALG.A.P. STATUS</t>
  </si>
  <si>
    <t>Transaction documentation includes reference to the GLOBALG.A.P. status and the GLOBALG.A.P. Number (GGN).</t>
  </si>
  <si>
    <t>Delivery notes, sales invoices, and, where appropriate, other documentation related to sales of products originating from certified production processes shall include the GGN of the certificate holder and a reference to the GLOBALG.A.P. certification status. This is not obligatory in internal documentation.
Positive identification of the certification status is sufficient on transaction documentation (e.g., “GLOBALG.A.P. certified &lt;product name&gt;”). Products from noncertified production processes do not to be identified as “noncertified.”
Indication of the certification status is obligatory regardless of whether the product from a certified production process was sold as such or not. This cannot be checked during the initial (first ever) certification body (CB) audit because the producer does not yet have certification and the producer cannot reference the GLOBALG.A.P. certification status before the first positive certification decision.
“N/A” only if there is an up-to-date and documented bilateral agreement available between the certificate holder and their direct buyer that all shipments contain only products originating from certified production processes.</t>
  </si>
  <si>
    <t>AQ-Smart 12.01</t>
  </si>
  <si>
    <t>AQ 12 LOGO USE</t>
  </si>
  <si>
    <t>The GLOBALG.A.P. word, trademark, and QR code or logo, as well as the GLOBALG.A.P. Number (GGN) are used according to “GLOBALG.A.P. trademarks use: Policy and guidelines.”</t>
  </si>
  <si>
    <t>The producer shall use the GLOBALG.A.P. word, trademark, and QR code or logo, as well as the GGN, Global Location Number (GLN), or sub-GLN according to “GLOBALG.A.P. trademarks use: Policy and guidelines.” The GLOBALG.A.P. word, trademark, or logo shall never appear on the final product, on the consumer packaging, or at the point of sale. However, the certificate holder can use any and/or all in business-to-business communications.
“N/A” for compound feed or GLOBALG.A.P. aquaculture ova or seedlings when not intended for sale to final consumers and definitely not appearing at any point of sale to final consumers.
The GLOBALG.A.P. word, trademark, or logo cannot be in use during the initial (first ever) certification body (CB) audit because the producer does not yet have certification, and the producer cannot refer to the GLOBALG.A.P. certification status before the first positive certification decision.</t>
  </si>
  <si>
    <t>AQ-Smart 13.01</t>
  </si>
  <si>
    <t>AQ 13 PARALLEL OWNERSHIP</t>
  </si>
  <si>
    <t>An effective system is in place to identify all products originating from GLOBALG.A.P. certified processes and segregate them from products originating from noncertified processes.</t>
  </si>
  <si>
    <t>A system shall be in place to avoid mixing products originating from certified and noncertified production processes. This can be done via physical identification or product handling procedures, including the relevant records.</t>
  </si>
  <si>
    <t>AQ-Smart 13.02</t>
  </si>
  <si>
    <t>The GLOBALG.A.P. Number (GGN) is indicated on all final products originating from certified production processes when registered for parallel ownership.</t>
  </si>
  <si>
    <t>For producers registered for parallel ownership (where products originating from certified and noncertified production processes are produced and/or owned by one legal entity), there shall be a system to ensure that all final products from a certified production process are correctly identified.
Products originating from a certified production process, including those packed in final consumer packaging (either from farm level or after product handling) shall be identified with the GGN.
It can be the GGN of the Option 2 producer group, the GGN of the producer group member, both GGNs, or the GGN of the Option 1 individual producer. The GGN shall not be used to label products originating from noncertified production processes.
“N/A” only if the producer owns only products from GLOBALG.A.P. certified production processes, or if there is a documented agreement available between the producer and the client not to use the GGN, Global Location Number (GLN), or sub-GLN on the sale-ready product. This can also be the client’s own label specifications where the GGN is not included.</t>
  </si>
  <si>
    <t>AQ-Smart 13.03</t>
  </si>
  <si>
    <t>A final verification step is in place to ensure correct dispatch of products originating from certified and noncertified production processes.</t>
  </si>
  <si>
    <t>The check shall be documented to show that the products are correctly identified and dispatched according to certified or noncertified status of their production processes.</t>
  </si>
  <si>
    <t>AQ-Smart 13.04</t>
  </si>
  <si>
    <t>Products that are purchased from different sources are identified.</t>
  </si>
  <si>
    <t>Procedures shall be established, documented, and maintained, appropriate to the scale of the operation, for identifying quantities of products originating from certified and, where applicable, noncertified production processes purchased from different sources (i.e., other producers or traders) for all registered products.
Records shall include:
- Product description
- GLOBALG.A.P. certification status
- Quantities of product(s) purchased
- Supplier details
- Copy of the GLOBALG.A.P. certificates, where applicable
- Traceability data/codes related to the purchased products
- Purchase orders and/or invoices received
- List of approved suppliers</t>
  </si>
  <si>
    <t>AQ-Smart 13.05</t>
  </si>
  <si>
    <t>A documented test of the traceability system is conducted annually.</t>
  </si>
  <si>
    <t>A documented test of the traceability system shall be conducted annually. This exercise may be included with the test of recall and withdrawal procedures, or may be carried out separately, depending on the type of production.</t>
  </si>
  <si>
    <t>AQ-Smart 14.01</t>
  </si>
  <si>
    <t>AQ 14 FARM MASS BALANCE</t>
  </si>
  <si>
    <t>Sales records are available for all quantities sold for all registered products.</t>
  </si>
  <si>
    <t>Sales details of the quantities of products originating from certified and, where applicable, noncertified production processes shall be recorded for all registered products, with particular attention to quantities sold and descriptions provided. The documents shall demonstrate the consistent balance between the input and the output of products originating from certified and noncertified production processes.
No “N/A.”</t>
  </si>
  <si>
    <t>AQ-Smart 14.02</t>
  </si>
  <si>
    <t>Quantities (produced, stored, and/or purchased) are recorded and summarized for all products.</t>
  </si>
  <si>
    <t>Quantities (including information on volumes or weight) of incoming (including purchased products), outgoing (including mortalities), and stored products (both from certified and, where applicable, from noncertified production processes) shall be recorded and a summary maintained for all registered products, so as to facilitate the mass balance verification process.
The frequency of the mass balance verification shall be defined and be appropriate to the scale of the operation, but it shall be done at least annually for each product. Documents to demonstrate mass balance shall be clearly identified. 
This principle and the respective criteria apply to all producers applying for or maintaining GLOBALG.A.P. certification.
No “N/A.”</t>
  </si>
  <si>
    <t>AQ-Smart 15.01</t>
  </si>
  <si>
    <t>AQ 15 FOOD SAFETY POLICY DECLARATION</t>
  </si>
  <si>
    <t>The producer has completed and signed the food safety policy declaration.</t>
  </si>
  <si>
    <t>The producer’s food safety policy declaration shall:
- Support the existence of a food safety culture, consisting of communication, training, feedback from workers, and measurable food safety objectives
- Be annually completed and signed by the producer/manager responsible for food safety
- Indicate people whose activities impact food safety
- Serve as documented evidence of commitment to continuous improvement, food safety culture, provision of resources, and adherence to relevant prevailing regulations
- Serve as documented evidence of review by management of all elements of the food safety system, on an annual basis or whenever changes occur that impact food safety
- Substantiate the self-assessment checklist (Option 1 individual producers)
- Be completed either by central management or on quality management system (QMS) level on behalf of Option 2 producer group members and Option 1 multisite producers with QMS)
No “N/A.”</t>
  </si>
  <si>
    <t>AQ-Smart 16.01</t>
  </si>
  <si>
    <t xml:space="preserve">AQ 16 FOOD FRAUD MITIGATION </t>
  </si>
  <si>
    <t>A system is in place to address risks associated with food fraud.</t>
  </si>
  <si>
    <t>A documented risk assessment to identify potential vulnerabilities to food fraud (counterfeit chemicals, non-food grade packaging material, etc.) shall be available, annually reviewed, updated when any relevant change occurs, and implemented. This procedure may be based on a generic one, but shall be customized to the scope of the production.
No “N/A.”</t>
  </si>
  <si>
    <t>AQ-Smart 16.02</t>
  </si>
  <si>
    <t>The producer has a food fraud mitigation plan, and it has been implemented.</t>
  </si>
  <si>
    <t>A documented food fraud mitigation plan, specifying the measures the producer has implemented to address the food fraud threats identified, shall be available and implemented.
No “N/A.”</t>
  </si>
  <si>
    <t>AQ-Smart 17.01</t>
  </si>
  <si>
    <t>AQ 17 SPECIFICATIONS, NON-CONFORMING PRODUCTS, AND PRODUCT RELEASE AT THE FARM</t>
  </si>
  <si>
    <t>Specifications for materials and services that are relevant to food safety are in place and readily available.</t>
  </si>
  <si>
    <t>A procedure shall be implemented and maintained for the control of suppliers of inputs and services that may introduce a food safety risk. The procedure shall include:
- Evaluation, approval, and continued monitoring of suppliers
- Procurement in emergency situations to ensure materials and services still conform to specifications
- Availability of records of evaluations, investigations, and follow-up actions
Specifications supporting the implementation of the standard and customer compliance shall be available.
Specifications shall be reviewed annually or when changes occur, whichever is sooner.
These changes may include the following, where relevant:
- Supplier specifications for packaging (where applicable)
- Allowable and acceptable licenses or qualifications for service providers (pest control contractors, laboratory services, etc.)
- Descriptions of customer requirements
- Defined specifications for raw materials
Descriptions of how alternate suppliers will be evaluated in the event of emergency or supply chain disruptions shall also be available.</t>
  </si>
  <si>
    <t>AQ-Smart 17.02</t>
  </si>
  <si>
    <t>Procedures are in place to manage and handle non-conforming products.</t>
  </si>
  <si>
    <t>Documented procedures shall be in place specifying that all non-conforming products be clearly identified and quarantined as appropriate. These products shall be handled or disposed of according to the nature of the problem and/or specific customer requirements.
Where the root cause is related to significant food safety reasons, the procedure in place shall be implemented and maintained for the determination and implementation of corrective actions. Such actions shall aim to eliminate the cause of a non-conformity to prevent reoccurrence.</t>
  </si>
  <si>
    <t>AQ-Smart 17.03</t>
  </si>
  <si>
    <t>The producer has a system in place to ensure that the farmed aquatic species are ready to harvest from a food safety point of view.</t>
  </si>
  <si>
    <t>The producer shall have in place a system to ensure that the farmed aquatic species are ready to harvest from a food safety point of view (maximum residue limit (MRL) compliance, conforming criteria, workers responsible for releasing products, etc.).</t>
  </si>
  <si>
    <t>AQ-Smart 18.01.01</t>
  </si>
  <si>
    <t>AQ 18 REPRODUCTION – This section provides the additional principles and criteria specifically to hatcheries, when covered under the certificate.</t>
  </si>
  <si>
    <t>Brood stock is obtained from a breeding program.</t>
  </si>
  <si>
    <t>Hatcheries shall be able to demonstrate that brood stock is obtained through a breeding program.
If wild-caught brood stock are used to supplement the breeding program, the following shall be considered:
- The brood stock shall be legally caught.
- There shall be evidence to demonstrate that supplementation is beneficial for farmed aquatic species improvement.
- There shall be evidence that wild individuals originate from known sources of healthy populations.
Passively collecting seedlings (natural spat settlement for shellfish, entrance of nauplii through inlet water, etc.) from the planktonic phase is allowed. Active collection methods (e.g., using nets) are not allowed.
No “N/A.”</t>
  </si>
  <si>
    <t>AQ-Smart 18.01.02</t>
  </si>
  <si>
    <t>Animals that have been used for brood stock are risk-assessed before entering the human food chain.</t>
  </si>
  <si>
    <t>There shall be documented evidence of identification, risk assessment, and, as necessary, disposal of brood stock for purposes other than human food.</t>
  </si>
  <si>
    <t>AQ-Smart 18.01.03</t>
  </si>
  <si>
    <t>Farming of genetically modified (GM/transgenic) farmed aquatic species is prohibited.</t>
  </si>
  <si>
    <t>The producer shall be able to show traceability to brood stock that are not from a GM/transgenic origin. This includes organisms originating from CRISP-Cas.</t>
  </si>
  <si>
    <t>AQ-Smart 18.01.04</t>
  </si>
  <si>
    <t>Invasive marking of the farmed aquatic species is avoided, or if ultimately necessary species are anesthetized before conducting the procedure.</t>
  </si>
  <si>
    <t>Records shall show the use of anesthetics (if invasive marking is unavoidable). The least invasive method shall be used according to legislation.</t>
  </si>
  <si>
    <t>AQ-Smart 18.01.05</t>
  </si>
  <si>
    <t>Specific to shrimp farming: all larvae sourced either internally or externally originate only from shrimp females without eye stalk ablation.</t>
  </si>
  <si>
    <t>Evidence in the shrimp supply chain shall identify larval origin with regard to eye stalk ablation. Examples of evidence can be supplier statements or photos, but preferably videos.
A plan shall be in place to source only larvae originating from shrimp females without ablation (or any other type of physically invasive method for inducing breeding) not later than April 2024.</t>
  </si>
  <si>
    <t>AQ-Smart 18.02.01</t>
  </si>
  <si>
    <t>The hatchery keeps records of reproduction, spawning, and hatching when applicable.</t>
  </si>
  <si>
    <t>Hatcheries shall be able to show procedures on spawning and hatching and the records of conditions (temperature, water properties, light, manipulation, etc.). Records shall be maintained, including farmed aquatic species health and welfare observations.</t>
  </si>
  <si>
    <t>AQ-Smart 18.02.02</t>
  </si>
  <si>
    <t>Documented procedures are in place to prevent cross contamination through all production stages, including separate equipment.</t>
  </si>
  <si>
    <t>Clear, documented procedures for disinfection/biosecurity shall be available, especially between the brood stock area and holding spaces of earlier life stages. Documents and infrastructure shall be in place.</t>
  </si>
  <si>
    <t>AQ-Smart 18.03.01</t>
  </si>
  <si>
    <t>Fish are anesthetized during stripping and sperm collection to avoid stress.</t>
  </si>
  <si>
    <t>Records of anesthetic use shall be available for the certification body (CB) audit.</t>
  </si>
  <si>
    <t>AQ-Smart 18.03.02</t>
  </si>
  <si>
    <t>If egg release requires incision, this is only done when the farmed aquatic species are anesthetized or dead.</t>
  </si>
  <si>
    <t>A documented procedure for egg release shall be available for the certification body (CB) audit, and shall identify the specific procedure of anesthetizing or shall follow the specified mechanical or electrical stunning and killing methods.</t>
  </si>
  <si>
    <t>AQ-Smart 19.01.01</t>
  </si>
  <si>
    <t xml:space="preserve">AQ 19 CHEMICAL COMPOUNDS
</t>
  </si>
  <si>
    <t>A product inventory is documented and readily available for all chemical compounds in store.</t>
  </si>
  <si>
    <t>For all chemical compounds in store, there shall be a documented, up-to-date record of the inventory including records of movements (use and supply).
No “N/A.”</t>
  </si>
  <si>
    <t>AQ-Smart 19.01.02</t>
  </si>
  <si>
    <t>Technical data sheets (TDSs; manufacturer product specifications) and safety data sheets (SDSs) are available for all chemical compounds.</t>
  </si>
  <si>
    <t>For all chemical compounds, TDSs and SDSs shall be available and at a minimum describe the compound’s application, composition/active ingredients, toxicity information, dosing and application method, required personal protective equipment (PPE) for handling and emergency information, and actions in case of operator contamination. The use of chemical compounds shall follow the TDS and SDS.
No “N/A.”</t>
  </si>
  <si>
    <t>AQ-Smart 19.01.03</t>
  </si>
  <si>
    <t>All chemical compounds are demonstrably approved for aquaculture production processes.</t>
  </si>
  <si>
    <t>All chemical compounds shall be demonstrably approved for the use in aquaculture production processes in the country of production and destination. There shall be evidence of a risk assessment by a competent person where there is no legislation on specific chemical substances/active ingredients.</t>
  </si>
  <si>
    <t>AQ-Smart 19.01.04</t>
  </si>
  <si>
    <t>Chemical compounds are stored in accordance with manufacturer instructions and legislation.</t>
  </si>
  <si>
    <t>Chemical compounds shall be stored in a secure lockable storage and in accordance with manufacturer instructions, legislation, and, where appropriate, be physically separated. Compliance shall require a visual assessment of the chemical store.
No “N/A.”</t>
  </si>
  <si>
    <t>AQ-Smart 19.01.05</t>
  </si>
  <si>
    <t>The chemical compound storage is kept locked and with access limited to workers with training.</t>
  </si>
  <si>
    <t>The chemical compound storage shall be kept locked at all times when not in use. Workers with access rights shall show evidence of training according to AQ 04.02.01.
No “N/A.”</t>
  </si>
  <si>
    <t>AQ-Smart 19.01.06</t>
  </si>
  <si>
    <t>Chemical compounds are stored in their original packaging or dedicated suitable containers, to allow label instructions to be clearly identified.</t>
  </si>
  <si>
    <t>Chemical compounds shall be stored in well maintained original packaging or dedicated suitable containers with readable labels. Small quantities for daily use may be put in suitable containers labeled with the chemical compound name.</t>
  </si>
  <si>
    <t>AQ-Smart 19.01.07</t>
  </si>
  <si>
    <t>The chemical compound storage is well ventilated, able to retain spillage, and equipped with emergency facilities to deal with accidental spillage.</t>
  </si>
  <si>
    <t>The chemical compound storage shall be visually assessed to prove that it is well ventilated and have retaining tanks or a bund of at least 110% of the largest liquid container to ensure that there cannot be any leakage or contamination to the exterior of the store. The chemical compound storage facilities and all mixing areas shall be equipped with a container of absorbent inert material (e.g., sand), a floor brush, a dustpan, and plastic bags in a fixed location with a sign giving instructions in case of accidental spillage of concentrated chemical compounds. For diesel and other fuel oil refer to AQ 06.02.03.
No “N/A.”</t>
  </si>
  <si>
    <t>AQ-Smart 19.01.08</t>
  </si>
  <si>
    <t>Facilities and equipment are suitable for measuring and/or mixing chemical compounds to ensure safe and accurate dosage.</t>
  </si>
  <si>
    <t>The chemical compound measuring/mixing areas shall have suitable equipment for accurate measuring and dosing of all chemical compounds in store, including measuring cups, jars, and scales. Dosing equipment shall be identified and where relevant, shall be regularly calibrated or verified with documentary evidence and justified frequency. The equipment shall not be used for other purposes. Calibration shall be traceable to a national or international standard or method.
No “N/A.”</t>
  </si>
  <si>
    <t>AQ-Smart 19.01.09</t>
  </si>
  <si>
    <t>Suitable equipment is available to prevent and to deal with operator contamination.</t>
  </si>
  <si>
    <t>The chemical compound storage and measuring/mixing areas shall be visually assessed to prove they are sufficiently equipped to prevent and deal with operator contamination for all chemical compounds in store. Personal protective equipment (PPE) shall include protective gloves, eye-protectors, face masks (where required), eye wash capabilities, a source of water, a first aid kit and a clear accident emergency procedure. Procedures shall clearly warn that workers at greater risk (such as pregnant or lactating women) shall not handle hazardous substances.
No “N/A.”</t>
  </si>
  <si>
    <t>AQ-Smart 19.02.01</t>
  </si>
  <si>
    <t>Empty chemical compound containers have records in place for reuse, recycling, and/or disposal. Reuse is possible only when risk-assessed by a competent person.</t>
  </si>
  <si>
    <t>There shall be evidence that empty chemical compound containers are not reused in any form unless risk-assessed as safe by a competent person. There are records that chemical compound containers have been disposed of by a legally licensed chemical compound waste subcontractor or returned to the supplying company for recycling.
No “N/A.”</t>
  </si>
  <si>
    <t>AQ-Smart 19.02.02</t>
  </si>
  <si>
    <t>The storage and disposal of empty containers and unused chemical compounds is carried out in such a way as to avoid spills or rinses that may expose products, humans, and/or animals.</t>
  </si>
  <si>
    <t>The system used for storage and disposal of empty chemical compound containers and unused chemical compounds shall ensure that products, persons, or animals cannot come into contact with the empty containers or chemical compounds and that spills or rinses are avoided. There shall be records that document that chemical compounds have been disposed of by officially authorized channels.
No “N/A.”</t>
  </si>
  <si>
    <t>AQ-Smart 19.03.01</t>
  </si>
  <si>
    <t>Chemical compounds are transported according to documented procedures.</t>
  </si>
  <si>
    <t>A documented procedure for chemical compounds transport shall be available and consider food safety, health, safety, and environmental risks.</t>
  </si>
  <si>
    <t>AQ-Smart 20.01.01</t>
  </si>
  <si>
    <t>AQ 20 FARMED AQUATIC SPECIES WELFARE, MANAGEMENT, AND HUSBANDRY (at all points of the production chain)</t>
  </si>
  <si>
    <t>Farmed aquatic species are traceable to the previous farm(s) and back to their origins, including identification of corresponding batch(es) of seedlings and parents.</t>
  </si>
  <si>
    <t>Farmed aquatic species shall be traceable to the previous farm(s) and back to their origins, including identification of corresponding batch(es) of seedlings and parents. Traceability records shall be on site.
No “N/A.”</t>
  </si>
  <si>
    <t>AQ-Smart 20.01.02</t>
  </si>
  <si>
    <t>Farmed aquatic species movements, at any life stage within, to, and from the farm, are recorded and traceable.</t>
  </si>
  <si>
    <t>Traceability records shall be on site. Records of all stock movements for all stages in the aquatic specie(s)’s life cycle shall include, where applicable: seedling/stock origin, species, numbers, biomass, and production unit ID.</t>
  </si>
  <si>
    <t>AQ-Smart 20.01.03</t>
  </si>
  <si>
    <t>Farmed aquatic species are identified (on a batch level) to specific batch(es) or input throughout the growing period.</t>
  </si>
  <si>
    <t>At each stage of the growth cycle, it shall be possible to identify the composition of a batch from its inputs.
No “N/A.”</t>
  </si>
  <si>
    <t>AQ-Smart 20.01.04</t>
  </si>
  <si>
    <t>Farmed brood stock is purchased from a source with GLOBALG.A.P. certification for the Integrated Farm Assurance (IFA) standard for aquaculture.</t>
  </si>
  <si>
    <t>The records of purchase and certificates should be available for the certification body (CB) audit. Management should be able to demonstrate awareness at interview.</t>
  </si>
  <si>
    <t>AQ-Smart 20.01.05</t>
  </si>
  <si>
    <t>Seedlings originate from a supplier (internal or external) with GLOBALG.A.P. certification for the Integrated Farm Assurance (IFA) standard for aquaculture.</t>
  </si>
  <si>
    <t>The records and certificates shall be available for the certification body (CB) audit. Management shall be able to demonstrate awareness at interview.
- Certification audit:
For initial compliance purposes, it is required that seedlings suppliers are registered with a GLOBALG.A.P. Number (GGN) in the GLOBALG.A.P. IT systems (as “GLOBALG.A.P. aquaculture seedlings (ova/juvenile)”) at the time of the producer’s initial CB audit. The supplier shall be able to show evidence of a self-assessment and provide a letter of commitment to certification by next CB audit.
- Subsequent audit (second CB audit):
Suppliers shall have GLOBALG.A.P. certification or certification to a GLOBALG.A.P. benchmarked scheme.
Ongoing compliance at subsequent audits of the seedling supplier(s) (whether internal or external suppliers), is required.
- After this first year, any additional seedling suppliers that start supplying the farm with GLOBALG.A.P. certification, shall be registered in the GLOBALG.A.P. IT systems from the moment seedlings are purchased and shall demonstrate their GLOBALG.A.P. certification status at their first CB audit after they started supplying.
No “N/A.”</t>
  </si>
  <si>
    <t>AQ-Smart 20.01.06</t>
  </si>
  <si>
    <t>Following certification, all stocked farmed aquatic species have spent their entire life on GLOBALG.A.P. registered farm(s).</t>
  </si>
  <si>
    <t>Movement traceability records shall be in place to prove that all stocked farmed aquatic species since certification come only from GLOBALG.A.P. registered farms.</t>
  </si>
  <si>
    <t>AQ-Smart 20.02.01</t>
  </si>
  <si>
    <t>An aquaculture health plan (AHP) is available, updated during the last 12 months, for the last production cycle, or whenever new medicines or treatments not previously used have been added.</t>
  </si>
  <si>
    <t>An AHP shall be available on the site. A certified veterinarian/aquatic animal health professional recognized by a competent authority shall approve the AHP. Name, affiliation, and dated signature shall be included in the AHP. 
A certified veterinarian/aquatic animal health professional is the professional responsible for health management on the farm who has the legal authority to diagnose disease and prescribe medication. This definition applies to all references to a veterinarian throughout the standard documents.
The AHP shall be updated either:
a) Annually
b) For each production cycle, if farmed aquatic species are on the farm for a period shorter than one year
c) Whenever any of the content of the AHP requires updating (e.g., inclusion of new medicines or treatments)
The plan shall include but is not restricted to the following:
1. Name and location of farm(s)
2. Potential diseases, including corresponding preventive measures of disease spread and disease mitigation
3. Vaccination protocols, which shall include available vaccines suitable for preventing or reducing possible diseases which could occur in this region, where applicable. If effective vaccines are available for a recurring disease, vaccination shall be preferred over therapeutic treatments. All fish shall be anesthetized prior to vaccination by injection, unless there are well justified health and welfare reasons not to do so. Sedation should be used when vaccinating by dip or bath if there is a risk of injury during handling.
4. Quarantine procedures
5. Medicines and treatments that may be used on the farm, including medicine name, active substance, indication, supplier, administration method, dosage, and preharvest withdrawal period
6. Preharvest withdrawal period, beginning when medicated feed is flushed from the farm feeding system; use of flushed feeds (feed intended to clear residues from the feed system)
7. Parasite records and controls, including frequency
8. Biosecurity procedures
9. Screening program for relevant pathogens
10. Risk assessment of medicinal residues in relation to food safety issues and potential impact on wild stocks around the farm
11. Stunning and killing procedures, including those for brood stock
12. Action plan for harvestable farmed aquatic species if the maximum residue limit (MRL) in the country of production and/or destination has been exceeded or is likely to be exceeded
13. Frequency and methods of culling, removal of sick and disposal of dead animals
14. Frequency and methods of mortality inspection
15. Frequency of monitoring of sensitivity/resistance and rotation of medicines to avoid antimicrobial resistance (AMR), where applicable
16. Recording of mortality and its causes, which shall be done daily or as often as possible. Where a disease outbreak is suspected or mortalities are higher than expected, the veterinarian/aquatic animal health professional and relevant government official shall be notified.
17. Internal procedure for disease breakout notification, including who will be notified
18. Animal health treatments: Antibiotics shall be used if and only if specific diseases are diagnosed and there is no alternative and farmed aquatic species welfare and health may be compromised.
18.a) Critically important antimicrobials as per the World Health Organization (WHO, www.who.int) recommendations shall be used if and only if it is the only last resort. Critical important antimicrobials (highest priority and high priority) listed for human medicine can be used only in exceptional circumstances under the judgement, prescription, and supervision of a veterinarian/aquatic animal health professional and if microbial sensitivity results (historic antibiogram) demonstrate that the selected antimicrobial is the only efficient treatment option. 
The veterinarian/aquatic animal health professional shall give justification in writing for each occasion of this use. If there is such use, there shall be evidence of communication from the producer’s certified veterinarian/aquatic animal health professional instructing the feed suppliers to mix prescribed antimicrobials into compound feed. It is the responsibility of the farmer to inform an external prescribing veterinarian or aquatic animal health professional of this requirement.
18.b) Consideration of the World Organization for Animal Health (WOAH, www.woah.org) recommendations on the “WOAH List of Antimicrobial Agents of Veterinary Importance”:
“Among the VCIA – Veterinary Critically Important Antimicrobial Agents in the WOAH List, some are considered to be critically important both for human and animal health; this is currently the case for Fluoroquinolones and for the third and fourth generation of Cephalosporins. Colistin has been moved in 2016 to the WHO category of Highest Priority Critically Important Antimicrobials. Therefore, these two classes and Colistin should be used according to the following recommendations:
- Not to be used as preventive treatment;
- Not to be used as a first line treatment unless justified, when used as a second line treatment, it should ideally be based on the results of bacteriological tests; and
- Extra-label/off-label use should be limited and reserved for instances where no alternatives are available. Such use should be in agreement with the national legislation in force;”
19. Any trials or testing of nonlicensed medical treatments
20. Fallowing periods and procedure instructions, where applicable
21. Coordinated disease responses and preventive measures with neighboring farmers
22. Medicines and treatments that are not allowed to be used, which shall include those compounds that are banned under the United Nations Food and Agriculture Organization (FAO)/WHO Codex Alimentarius: nitrofurans (as well as its derivates), triarylmethane dyes (including, but not limited to malachite green, crystal violet, and brilliant green), stilbenes (including, but not limited to stilbene, dienestrol, diethylstilbestrol, hexestrol), chloramphenicol, nitroimidazoles (including, but not limited to dimetridazole, ipronidazole, metronidazole) or ß-agonists (including, but not limited to clenbuterol)
23. Where applicable, records of routine assigned veterinarian/aquatic animal health professional visits
No “N/A.”</t>
  </si>
  <si>
    <t>AQ-Smart 20.02.02</t>
  </si>
  <si>
    <t>Equipment is designed and fit for the purpose of avoiding physical damage and ensuring minimal stress to the farmed aquatic species.</t>
  </si>
  <si>
    <t>Pumps, surfaces, and equipment that come into contact with farmed aquatic species, including vaccination facilities, shall be suitably designed and operated to avoid physical damage and to ensure minimal stress to the farmed aquatic species.</t>
  </si>
  <si>
    <t>AQ-Smart 20.02.03</t>
  </si>
  <si>
    <t>Where there is a legal requirement for health status certification, farmed aquatic species or seedlings introduced to the farm are certified free from known diseases.</t>
  </si>
  <si>
    <t>Farmed aquatic species or seedlings introduced to the farm shall be certified free from known diseases. Records shall be available on site. If there is no corresponding legal requirement, refer to AQ 20.02.06.</t>
  </si>
  <si>
    <t>AQ-Smart 20.02.04</t>
  </si>
  <si>
    <t>Brood stock prior to breeding is screened and verified free of diseases that may be vertically transmitted.</t>
  </si>
  <si>
    <t>Records and certificates shall be in place showing that brood stock prior to breeding has been screened and verified free of diseases that may be vertically transmitted.</t>
  </si>
  <si>
    <t>AQ-Smart 20.02.05</t>
  </si>
  <si>
    <t>Seedling suppliers (internal or external) provide a health assessment report.</t>
  </si>
  <si>
    <t>The condition of the farmed aquatic species shall have been assessed, and analytical test certificates of routine surveillance disease monitoring of seedlings, at least for known diseases for the specific species as defined in the aquaculture health plan (AHP), shall be available. Records shall include information on sampling protocols, analysis type, frequency, and results. The competent authority shall recognize the laboratory used for notifiable disease monitoring.</t>
  </si>
  <si>
    <t>AQ-Smart 20.02.06</t>
  </si>
  <si>
    <t>Farmed aquatic species intended to be moved show a state of good health and welfare following established parameters.</t>
  </si>
  <si>
    <t>Farmed aquatic species intended to be moved shall show a state of good health and welfare following established parameters (including cleaner fish). Risk assessment of the common diseases of the species/location before moving to grow-out areas shall be in place.
No “N/A.”</t>
  </si>
  <si>
    <t>AQ-Smart 20.02.07</t>
  </si>
  <si>
    <t>Documented instructions to notify the relevant competent authority of disease problems, where stipulated by law or by the World Organization for Animal Health (WOAH), are in place.</t>
  </si>
  <si>
    <t>The producer shall demonstrate knowledge of which notifiable diseases or types of mortality events shall be reported to the statutory authority or WOAH. At a minimum, any diseases stipulated as notifiable by the WOAH shall be disclosed (www.woah.org).
No “N/A.”</t>
  </si>
  <si>
    <t>AQ-Smart 20.02.08</t>
  </si>
  <si>
    <t>The hatchery/farm has in place a system to monitor and register farmed aquatic species health and welfare indicators and all disease occurrences.</t>
  </si>
  <si>
    <t>A system to monitor and register farmed aquatic species health and welfare indicators and all disease occurrences at hatcheries/farm sites shall be in place.
The register shall contain at least:
- Observations
- Diagnosis 
- Treatment
- Mortalities
Appropriate mechanisms for on-site checking and records of identification for health and welfare indicators shall be in place, including visual monitoring (directly or by video). The checking shall demonstrably be used as an early warning system for farmed aquatic species health and welfare, and additional care shall be shown in cases of abnormalities.
Health and welfare observations shall be recorded at a minimum on a weekly basis.
Workers shall be able to demonstrate awareness at interview.
No “N/A.”</t>
  </si>
  <si>
    <t>AQ-Smart 20.02.09</t>
  </si>
  <si>
    <t>The producer demonstrates both understanding of hygiene practices regarding farmed aquatic species health and welfare, and implemented hygiene procedures which are suitable to the farm.</t>
  </si>
  <si>
    <t>A documented hygiene plan shall detail the most important elements regarding farmed aquatic species health and welfare:
- Water quality
- Cleaning methods
- Cleaning agents (labeled for food contact surfaces, where appropriate)
- Disinfectants
- Application period
- Application frequency 
- Collection and handling of mortalities
The plan shall be implemented and recorded. Workers shall be able to demonstrate awareness at interview. Cross-reference with AQ 03.03.
No “N/A.”</t>
  </si>
  <si>
    <t>AQ-Smart 20.02.10</t>
  </si>
  <si>
    <t>Farmed aquatic species batch numbers, average weight, and total biomass are monitored at production unit level.</t>
  </si>
  <si>
    <t>Farmed aquatic species batch numbers, average weight, and total biomass shall be monitored at production unit level. Records of monitoring and documentation shall be available.</t>
  </si>
  <si>
    <t>AQ-Smart 20.02.11</t>
  </si>
  <si>
    <t>Size variation within stocks of farmed aquatic species is controlled.</t>
  </si>
  <si>
    <t>Size variation within one holding unit (tank, pond, net pen, rope) shall be monitored. Levels at which size grading is necessary for the species shall be established and justified. Procedures shall be present to assess and minimize factors affecting size variation. All grading events shall be recorded.</t>
  </si>
  <si>
    <t>AQ-Smart 20.02.12</t>
  </si>
  <si>
    <t>The farm has in place a system to ensure appropriate feeding levels and feed usage records.</t>
  </si>
  <si>
    <t>The farm shall have in place a system to ensure that feeding levels are in accordance with needs based on, e.g., feed manufacturer’s guidelines or farming experience. The system shall ensure an even distribution of feed to the population, and have a mechanism for the adjustment of feeding levels depending on appetite and expected biomass and for minimizing feed waste, avoiding competition, and mitigating aggression. Feeding records shall be present and shall demonstrate monitoring of feed efficiency.</t>
  </si>
  <si>
    <t>AQ-Smart 20.02.13</t>
  </si>
  <si>
    <t>The farm/hatchery/transport operates according to set densities.</t>
  </si>
  <si>
    <t>A density shall be established in relation to farmed aquatic species’ size, production stage, environment, and production system. Where there are no corresponding legislative requirements, the farm shall show that limits are based on scientific evidence or industry best practices regarding health and welfare and food safety. Density limits shall not be set as an average for the system or as a production cycle average. Set densities shall not be exceeded. Stocking densities shall be calculated, and records shall be in place.</t>
  </si>
  <si>
    <t>AQ-Smart 20.02.14</t>
  </si>
  <si>
    <t>A risk assessment for animal welfare is conducted.</t>
  </si>
  <si>
    <t>An up-to-date, documented risk assessment with associated control measures on animal welfare shall be present, which includes, but is not necessarily limited to:
- Predation
- Extraneous species present in the farm unit
- Intensity and changes in artificial/sun light; diurnal rhythm
- Acoustic disturbance and vibrations due to (engines, pumps, aerators, etc.)
- Visual disturbances (moving objects, persons, shadows, etc.)
- Design and method of farmed aquatic species grading and counting systems
- Electricity leakage into the holding facilities
- Biotic factors (e.g., algal blooms)
- Contaminations (contingency plan mandatory)
- Physical marking – invasive procedure
- Water flow rate
Cross-reference with AQ 01.02.01.
There shall be documented evidence that any animal welfare problem seen during a certification body (CB) audit is dealt with appropriately and without delay.</t>
  </si>
  <si>
    <t>AQ-Smart 20.02.15</t>
  </si>
  <si>
    <t>The producer considers enhancing the rearing conditions to improve performance and animal welfare of the farmed aquatic species.</t>
  </si>
  <si>
    <t>Based on the increased understanding of the husbandry of farmed aquatic species, consideration shall be given to better meeting physiological and behavioral needs, e.g., through environmental enrichments.
Efforts shall be made to give farmed aquatic species an environment which is suitable to their needs. For instance, considerations shall be given to social, structural, sensory, and dietary enrichments.</t>
  </si>
  <si>
    <t>AQ-Smart 20.02.16</t>
  </si>
  <si>
    <t>A risk assessment is conducted to demonstrate that water quality does not compromise food safety or farmed aquatic species health and welfare.</t>
  </si>
  <si>
    <t>A documented risk assessment shall be in place covering all potential water pollution sources affecting food safety or farmed aquatic species health and welfare. Where risks have been identified, measures such as water treatment, filtration, disinfection, etc. shall be taken.
Water sources not suitable for the aquaculture process shall, where available, be clearly marked.
No “N/A.”</t>
  </si>
  <si>
    <t>AQ-Smart 20.02.17</t>
  </si>
  <si>
    <t>The infrastructure of the facilities ensures no cross contamination of the intake water.</t>
  </si>
  <si>
    <t>Intake and discharge shall be controlled and independent from each other in order to avoid unwanted cross contamination of intake water. This aspect shall be included in the risk assessment (refer to AQ 01.02.01).</t>
  </si>
  <si>
    <t>AQ-Smart 20.02.18</t>
  </si>
  <si>
    <t>The farm/hatchery/transport and holding facilities have a routine water quality monitoring and control program based on a risk assessment and taking into account potential contamination, farmed aquatic species health and welfare, and the production system.</t>
  </si>
  <si>
    <t>The farm shall have in place a monitoring and control program based on a risk assessment for water quality to ensure that the health and welfare of the farmed aquatic species is not compromised. The risk assessment (refer to AQ 20.02.16) shall include relevant water quality parameters, fluctuations, and sampling points (at farm or production unit level), such as temperature, dissolved oxygen, carbon dioxide, dissolved nitrogen (over-saturation), pH, ammonia, nitrate, nitrite, suspended solids, and microbiological parameters (e.g., fecal indicators), among others identified in the risk assessment as necessary. Records for each site shall be in place. Frequency shall be related to the aquaculture system used and shall be established by the risk assessment. Laboratory testing shall occur in a manner consistent with industry requirements and prevailing regulations.
No “N/A.”</t>
  </si>
  <si>
    <t>AQ-Smart 20.02.19</t>
  </si>
  <si>
    <t>Farmed aquatic species are treated and handled at all times in such a way as to protect them from pain, stress, injury, and disease.</t>
  </si>
  <si>
    <t>Farmed aquatic species shall, at all times, be treated and handled in such a way as to protect them from pain, stress, injury, and disease. Workers shall be able to demonstrate awareness at interview.
No “N/A.”</t>
  </si>
  <si>
    <t>AQ-Smart 20.02.20</t>
  </si>
  <si>
    <t>Periods of crowding, time out of the water, grading, transport, and fasting are recorded and justified by the certified veterinarian/aquatic animal health professional.</t>
  </si>
  <si>
    <t>For each particular farmed aquatic species, the number and length of periods of crowding, grading, time out of water, transport, and fasting (prior to harvesting, vaccination, transport, etc.) shall follow the certified veterinarian/aquatic animal health professional’s guidelines included in the aquaculture health plan (AHP), with limits to the duration and frequency of each period established. Records showing adherence shall be available.
Crowding shall consider the equipment used and the water quality. Crowding may also occur when feeding or during other routine processes.</t>
  </si>
  <si>
    <t>AQ-Smart 20.02.21</t>
  </si>
  <si>
    <t>Feedback relating to animal welfare from the preceding production stage is in place and recorded.</t>
  </si>
  <si>
    <t>From the farm to the hatchery/nursery and from the slaughter facility/primary processing to the grow-out farms, health and welfare indicators of the farmed aquatic species such as mortalities, exterior damage (scale loss, fin erosion, predator bites, handling scars, lesions resulting from aggression, parasite lesions, etc.), and deformities, shall be noted upon arrival: at the farm, when arriving from hatcheries and/or at the slaughter/processing plant, when arriving from grow-out stages.
There shall be a system in place for recording and sharing farmed aquatic species health and welfare information, and for making necessary improvements and changes based on the feedback.</t>
  </si>
  <si>
    <t>AQ-Smart 20.02.22</t>
  </si>
  <si>
    <t>Culling of farmed aquatic species is done according to prescribed methods respecting animal welfare and the aquaculture health plan (AHP).</t>
  </si>
  <si>
    <t>Culling of farmed aquatic species (removal, killing and disposal, including extraneous species, sick or deformed specimens) shall be done according to prescribed methods, including safe disposal. Culling procedures shall be in place. Cross-reference with AQ 20.02.01 on the AHP.</t>
  </si>
  <si>
    <t>AQ-Smart 20.02.23</t>
  </si>
  <si>
    <t>A management plan for cohabitant species not intended for human consumption is in place, and this plan applies the same welfare, feed management, biosecurity, and environmental enrichment principles as for the commercially grown species.</t>
  </si>
  <si>
    <t>There shall be a management plan for cohabitant species not intended for human consumption (e.g., cleaner fish in salmon farming). This management plan shall apply the same animal welfare and biosecurity principles as those for the commercially grown species. Operational controls for the management of these species shall be demonstrated.
Any use of cohabitant species (e.g., cleaner fish) shall be risk-assessed.
Cohabitant species shall be sourced from known origins.</t>
  </si>
  <si>
    <t>AQ-Smart 20.02.24</t>
  </si>
  <si>
    <t>Elements of the risk assessment on animal welfare are applied for transport of live farmed aquatic species, eggs, and juveniles.</t>
  </si>
  <si>
    <t>The addressed elements in the risk assessment on animal welfare shall apply to transport of live farmed aquatic species, eggs, and juveniles.
Moribund and diseased animals shall not be transported.
Waters used for transport shall have similar properties with regard to farmed aquatic species welfare parameters such as (but not limited to) oxygen, pH, salinity, and temperature. Records of measurements shall be in place. Refer to AQ 20.02.18.</t>
  </si>
  <si>
    <t>AQ-Smart 20.03.01</t>
  </si>
  <si>
    <t>If effective vaccines are available for a recurring disease, vaccination is preferred over therapeutic treatments.</t>
  </si>
  <si>
    <t>The producer shall use only those vaccines that are permitted by the relevant competent authority for use in aquaculture and for the named species. A list of all vaccines that may be used on the farm shall be available as part of the aquaculture health plan (AHP). Cross-reference with AQ 20.04.01.</t>
  </si>
  <si>
    <t>AQ-Smart 20.03.02</t>
  </si>
  <si>
    <t>The producer uses only medicines and treatments that are permitted by the relevant competent authority and stipulated in the aquaculture health plan (AHP) for use in aquaculture and for the named farmed aquatic species.</t>
  </si>
  <si>
    <t>The producer shall use only those medicines and treatments that are permitted by the relevant competent authority for use in aquaculture and for the named species. A list of all medicines and treatments that may be used on the farm shall be available as part of the AHP. Cross-reference with AQ 20.04.01.</t>
  </si>
  <si>
    <t>AQ-Smart 20.03.03</t>
  </si>
  <si>
    <t>The producer is able to demonstrate compliance regarding maximum residue limits (MRLs) in the market where the farmed aquatic species will be traded (domestic or international).</t>
  </si>
  <si>
    <t>The producer shall have available a list of currently applicable MRLs for the market(s) where the farmed aquatic species are traded (whether domestic or international). The MRLs shall be identified by either demonstrating communication with clients confirming the intended market(s) or by selecting the specific country (or group of countries) where the producer intends to trade the farmed products and presenting evidence of compliance that meets the currently applicable MRLs of the country (group). Where a group of countries is targeted for trading, the producer shall comply with the strictest currently applicable MRLs. If there is any change in the list of countries of destination, this shall be updated and the certification body (CB) informed.</t>
  </si>
  <si>
    <t>AQ-Smart 20.03.04</t>
  </si>
  <si>
    <t>Vaccines, medicines, and treatments used on the farm are authorized and/or prescribed by a certified veterinarian/aquatic animal health professional.</t>
  </si>
  <si>
    <t>Vaccines, medicines, and treatments used on the farm shall be authorized and/or prescribed by a certified veterinarian/aquatic animal health professional. Application has to be carried out according to label instructions and veterinary prescriptions, following the instructions included in the aquaculture health plan (AHP). Where the prescription follows the cascade principle, this shall be clearly recorded with justification for each treatment.</t>
  </si>
  <si>
    <t>AQ-Smart 20.03.05</t>
  </si>
  <si>
    <t>Mixing feed with medicines on the farm is avoided. When justified, this practice follows the medication and treatment requirements listed in the aquaculture health plan (AHP).</t>
  </si>
  <si>
    <t>Mixing feed with medicines on the farm shall be avoided. The practice shall be used only when justified, and in those rare cases shall follow medication and treatment requirements listed in the AHP.
Records for this practice shall include:
- Target with justification
- Person responsible for prescription
- Trained person responsible for mixing feed with medicines
- Records of feed used
- Active ingredient and product name
- Concentrations used and mixing procedures following label instructions
- Feeding administration procedure
- Evidence of active ingredient concentration
- Withdrawal times</t>
  </si>
  <si>
    <t>AQ-Smart 20.03.06</t>
  </si>
  <si>
    <t>Neither natural nor synthetic hormones nor antibiotic agents are used for the purpose of growth promoting.</t>
  </si>
  <si>
    <t>The producer shall be able to demonstrate that hormones and antibiotic agents are used properly and not for promoting growth.</t>
  </si>
  <si>
    <t>AQ-Smart 20.03.07</t>
  </si>
  <si>
    <t>When stocks are vaccinated, it is according to the aquaculture health plan (AHP) under AQ 20.02.01.</t>
  </si>
  <si>
    <t>The vaccination records shall be available for the certification body (CB) audit.</t>
  </si>
  <si>
    <t>AQ-Smart 20.03.08</t>
  </si>
  <si>
    <t>Antibiotic agents are only applied following the diagnosis of an infectious bacterial disease.</t>
  </si>
  <si>
    <t>Antibiotic agents shall not be used prophylactically, but shall be applied as a therapeutic treatment only where an infectious bacterial disease is diagnosed. Refer to the aquaculture health plan (AHP).</t>
  </si>
  <si>
    <t>AQ-Smart 20.03.09</t>
  </si>
  <si>
    <t>Unused medicines or medicated feed past their use-by date and empty medicine containers or empty medicated feed bags are disposed of in a controlled manner that will not result in subsequent misuse.</t>
  </si>
  <si>
    <t>There shall be a documented procedure in place detailing methods of disposal for medicines and medicated feed (according to the manufacturer’s instructions and legal requirements, where applicable) and justification.</t>
  </si>
  <si>
    <t>AQ-Smart 20.04.01</t>
  </si>
  <si>
    <t>The producer maintains up-to-date records of medicines and treatment purchases or deliveries, including medicated feed, and records of administering medicines/medicated feed to farmed aquatic species.</t>
  </si>
  <si>
    <t>Any and all medicines and medicated feed in use/storage shall be recorded in accordance with standard requirements, and records shall be in place.
The purchase record shall include date of purchase, name of product, quantity purchased, batch number, expiry date, and name of supplier.
The administration record shall include batch number, date administered, identity of farmed aquatic species group treated, quantity or biomass of farmed aquatic species treated, dosage, method of administration and total quantity of medicine used, date treatment finished, date withdrawal period completed, earliest date the farmed aquatic species are available for consumption, name of the person(s) who administered the medicine by date.</t>
  </si>
  <si>
    <t>AQ-Smart 20.04.02</t>
  </si>
  <si>
    <t>The producer is able to provide a complete history and current overview and trend analysis of farmed aquatic species treatments and application methods.</t>
  </si>
  <si>
    <t>All farmed aquatic species treatments and treatment trend analysis shall be recorded and carried out according to the aquaculture health plan (AHP).
Typical trend analysis may include:
- Where antibiotics are used, a trend relating to the quantity of active ingredient versus harvest tonnage can be calculated for defined batches.
- Where chemical compound treatments are used, a trend relating volumes used versus farmed aquatic species numbers produced can be calculated for defined batches.
- Number of treatments and frequencies of specific disease treatments</t>
  </si>
  <si>
    <t>AQ-Smart 20.04.03</t>
  </si>
  <si>
    <t>There is in place a system for identifying batches of farmed aquatic species which have received treatment requiring a preharvest withdrawal period.</t>
  </si>
  <si>
    <t>At the site, there shall be a system for identifying – and preventing accidental harvesting of – batches of farmed aquatic species that have received treatments and are in a preharvest withdrawal period. Workers shall be able to demonstrate awareness at interview.</t>
  </si>
  <si>
    <t>AQ-Smart 20.04.04</t>
  </si>
  <si>
    <t>Preharvest withdrawal periods for relevant treatments and for relevant production units are known and strictly adhered to.</t>
  </si>
  <si>
    <t>There shall be documented confirmation of the nature and the date of treatment and the date that the preharvest withdrawal period will be completed. Any farmed aquatic species subsequently sold to another farm before the preharvest period has expired, shall be identifiable as such. Required withdrawal periods for production units that may be indirectly affected by treatment of another production unit (through feed spill, sharing the same waters, etc.) shall be based on the risk assessment (refer to AQ 20.02.01 on the aquaculture health plan (AHP)). Workers shall be able to demonstrate awareness at interview.</t>
  </si>
  <si>
    <t>AQ-Smart 20.05.01</t>
  </si>
  <si>
    <t>Mortality inspection and removal from the production units are carried out according to the aquaculture health plan (AHP).</t>
  </si>
  <si>
    <t>Mortality records shall be available for the certification body (CB) audit. Moribund farmed aquatic species shall be removed as they appear.
No “N/A.”</t>
  </si>
  <si>
    <t>AQ-Smart 20.05.02</t>
  </si>
  <si>
    <t>Mortalities, cause of death, and mortalities trend analysis are recorded at production unit level.</t>
  </si>
  <si>
    <t>Records of mortalities and cause of death, when known, shall be in place per production unit.
The frequency of mortalities recording shall be defined and be performed as often as possible.
Records shall also include percentage per production stage.
Workers shall show awareness of farmed aquatic species’ health status/mortality causes at interview. Actions shall be taken when trends are identified.
The self-assessment/internal audit and certification body (CB) audit reports shall have a value of the overall percentage of mortalities per production stage and values linked to the causes of death.</t>
  </si>
  <si>
    <t>AQ-Smart 20.05.03</t>
  </si>
  <si>
    <t>The farm has a system for dead farmed aquatic species removal, storage, and disposal that ensures that environmental aspects are not compromised and avoids spreading of pathogens and diseases to own stock and to the wild.</t>
  </si>
  <si>
    <t>Dead farmed aquatic species shall be removed, intermediately stored, and disposed of in a way that ensures that environmental aspects are not compromised and avoids spreading of pathogens and diseases to own stock and to the wild. Farm records shall be in place to show protocols for dead farmed aquatic species removal, storage, and disposal.</t>
  </si>
  <si>
    <t>AQ-Smart 20.05.04</t>
  </si>
  <si>
    <t>The farm has a contingency plan for dealing with mass mortalities.</t>
  </si>
  <si>
    <t>The farm shall have a contingency plan for dealing with mass mortalities. Workers shall be able to demonstrate awareness at interview.
No “N/A.”</t>
  </si>
  <si>
    <t>AQ-Smart 20.06.01</t>
  </si>
  <si>
    <t>Suspended pen nets never touch the bottom of the body of water.</t>
  </si>
  <si>
    <t>The records of depths measurements shall demonstrate that suspended pen nets never touch the bottom of the body of water in which they are suspended.</t>
  </si>
  <si>
    <t>AQ-Smart 20.06.02</t>
  </si>
  <si>
    <t>Nets in use are individually identifiable and maintained in good condition.</t>
  </si>
  <si>
    <t>Maintenance records shall be kept for each net documenting age, condition, repair, types and dates of treatments/cleaning, location, net inspection records, divers’ observations (where applicable), and records of corrective actions that have been taken according to results of monitoring operations.
The integrity of the nets shall be visually inspected as frequently as required in the risk assessment or manufacturer guidelines and immediately after any special event (e.g., a storm) to ensure that any damage that may lead to risk of farmed aquatic species escapes is identified and corrected. Net strength shall be tested according to manufacturer guidelines.</t>
  </si>
  <si>
    <t>AQ-Smart 20.06.03</t>
  </si>
  <si>
    <t>The recorded net mesh sizes are appropriate for the size of farmed aquatic species (including cohabitant species) to prevent escapes and risk of injuries to the farmed aquatic species.</t>
  </si>
  <si>
    <t>Records of net mesh measurement shall be in place. Net mesh size shall be appropriate for the farmed aquatic species size (including cohabitant species) to prevent escapes and risk of injuries to the farmed aquatic species.</t>
  </si>
  <si>
    <t>AQ-Smart 20.06.04</t>
  </si>
  <si>
    <t>Pens and mooring systems are suitably designed for their location and weather conditions according to a risk assessment and are correctly installed.</t>
  </si>
  <si>
    <t>A risk assessment that considers the suitability of cage and mooring design shall be available for the certification body (CB) audit.
Specifications for cages and mooring systems shall be available, including names of the person(s) or company carrying out the installations.
Evidence of the experience/qualifications of persons responsible for installation and maintenance shall be available.
A documented maintenance plan for anchors, mooring equipment, and cages, including details of renewed parts, shall be available. Pens and mooring systems shall be maintained on a regular basis by persons with suitable training or experience and according to a written plan.</t>
  </si>
  <si>
    <t>AQ-Smart 20.06.05</t>
  </si>
  <si>
    <t>Pens are clearly marked with navigation aids.</t>
  </si>
  <si>
    <t>Pens shall be appropriately marked where necessary.</t>
  </si>
  <si>
    <t>AQ-Smart 20.07.01</t>
  </si>
  <si>
    <t>Fallow periods are defined, and where there is no fallowing, this has been defined in the aquaculture health plan (AHP).</t>
  </si>
  <si>
    <t>The fallowing and restocking dates for sites/ponds (where these are independent units) shall be defined and records kept. Where ponds are not fully drained, checks shall have been done to ensure all farmed aquatic species are removed from the individual units and, crucially, before treatment of any water remaining in the pond. Workers shall be able to demonstrate awareness at interview. Where there is no fallowing, this shall be defined in the AHP. A farmed aquatic species health risk assessment shall be in place.</t>
  </si>
  <si>
    <t>AQ-Smart 20.07.02</t>
  </si>
  <si>
    <t>Vegetative buffer zones and habitat corridors around pond systems and adjacent to farm boundaries are maintained in good order and, where practical, improved.</t>
  </si>
  <si>
    <t>Vegetative buffer zones and habitat corridors shall be maintained to minimize the effect of site operations on the environment. Consideration shall be given to the creation of vegetative buffer zones and habitat corridors where they are not already in place.</t>
  </si>
  <si>
    <t>AQ-Smart 20.07.03</t>
  </si>
  <si>
    <t>Neither sewage nor manure is used as fertilizer.</t>
  </si>
  <si>
    <t>The producer shall demonstrate that treated or untreated sewage waters and animal manure are not used on the farm. Workers shall be able to demonstrate awareness at interview.</t>
  </si>
  <si>
    <t>AQ-Smart 20.07.04</t>
  </si>
  <si>
    <t>Where pond rearing is based on or complemented by inorganic fertilization, there are defined procedures available, and records are kept of any quantities of fertilizers added to the pond.</t>
  </si>
  <si>
    <t>Documented procedures and records of inorganic fertilizers added to pond and their quantities shall be in place. Special attention shall be given to phosphorus, considering it is a limited natural resource.</t>
  </si>
  <si>
    <t>AQ-Smart 20.07.05</t>
  </si>
  <si>
    <t>Dredged sediment is disposed of according to the environmental management plan (EMP).</t>
  </si>
  <si>
    <t>Records of disposal of dredged sediment shall be in place, including disposal done by subcontractors. Any activity performed by subcontractors shall follow legislation, including when outside the farm.</t>
  </si>
  <si>
    <t>AQ-Smart 20.08.01</t>
  </si>
  <si>
    <t>Sites have a documented biosecurity plan.</t>
  </si>
  <si>
    <t>A biosecurity plan is in place and shall include at a minimum:
- Risk assessment
- Training
- Site hygiene
- Risk of introduction of pathogens and diseases
- Systems to prevent and disinfect
- Area management plan
- Requirements to control entry and exit points to the site and equip them for cleaning and disinfecting
- Visitor authorization procedure
- Visual prohibition/warning signage around the farm perimeter or entrances
No “N/A.”</t>
  </si>
  <si>
    <t>AQ-Smart 20.08.02</t>
  </si>
  <si>
    <t>If there is an area management plan, the farm is actively participating and can demonstrate compliance with the plan’s requirements.</t>
  </si>
  <si>
    <t>An area management plan is an agreement between producers, usually at the same body of water, that includes measures to prevent the introduction and spread of pathogens and disease.
If there is such a plan, the producer shall show documented evidence of participation.
Where no area management plan is in place, farms from different aquaculture companies sharing the same body of water shall demonstrate efforts with specific actions to collaborate in relevant aspects affecting their farming operations. Examples may include disease control, movement of animals, predators, evaluation of macro-fauna, etc.</t>
  </si>
  <si>
    <t>AQ-Smart 20.08.03</t>
  </si>
  <si>
    <t>Where used, harvesting containers are cleaned and disinfected before reuse and transfer to the grow-out sites.</t>
  </si>
  <si>
    <t>Records of cleaning and disinfection of harvesting containers shall be in place, where applicable.</t>
  </si>
  <si>
    <t>AQ-Smart 20.08.04</t>
  </si>
  <si>
    <t>There is a documented equipment cleaning and disinfection plan.</t>
  </si>
  <si>
    <t>The producer shall be able to demonstrate both understanding of biosecurity practices and cleaning and disinfection procedures that are suitable to the farm.
A documented cleaning and disinfection plan shall be in place, detailing the most important elements, in particular:
- Cleaning water quality
- Cleaning methods
- Cleaning agents
- Disinfectants
- Application period
- Application frequency
- Disease control
- Storage conditions of cleaning equipment to avoid risk of contaminating product
The plan shall be in place, implemented, and recorded. Equipment in direct or indirect contact with the farmed aquatic species shall be constructed of materials that do not hinder proper cleaning and disinfection. Workers shall be able to demonstrate awareness at interview.
No “N/A.”</t>
  </si>
  <si>
    <t>AQ-Smart 20.08.05</t>
  </si>
  <si>
    <t>For all machinery and equipment (including filters), a record is kept of maintenance details, cleaning, and disinfecting.</t>
  </si>
  <si>
    <t>Records of maintenance, daily cleaning, and disinfecting shall be in place for all machinery and equipment (including filters), where applicable.</t>
  </si>
  <si>
    <t>AQ-Smart 20.08.06</t>
  </si>
  <si>
    <t>Vehicles and vessels (including all transport systems and associated equipment) used for transporting farmed aquatic species or aquaculture feed, whether owned by the producer or subcontractors, show evidence of cleaning and disinfection procedures.</t>
  </si>
  <si>
    <t>The risk assessment shall specify the required cleaning and disinfection procedures. Records and corrective actions shall be in place for the self-assessment/internal audit and certification body (CB) audit. Transportation of farmed aquatic species shall maintain traceability and adherence to local legislation on movement of fish.
No “N/A.”</t>
  </si>
  <si>
    <t>AQ-Smart 20.08.07</t>
  </si>
  <si>
    <t>There is segregation or disinfection of equipment, workers, and vehicles between operating sites to reduce transfer of diseases.</t>
  </si>
  <si>
    <t>Documented procedures and records of disinfection where required shall be in place.
No “N/A.”</t>
  </si>
  <si>
    <t>AQ-Smart 20.08.08</t>
  </si>
  <si>
    <t>The infrastructure supports quarantine procedures for the site or farm in case of an infectious disease outbreak.</t>
  </si>
  <si>
    <t>If an infectious disease breaks out, the infrastructure shall support the documented quarantine procedures.</t>
  </si>
  <si>
    <t>AQ-Smart 20.08.09</t>
  </si>
  <si>
    <t>Unless the health status is verified in advance, brood stock/seedlings are held in quarantine until their disease status is verified prior to their transfer to other areas.</t>
  </si>
  <si>
    <t>Health status or quarantine records shall be in place.</t>
  </si>
  <si>
    <t>AQ-Smart 20.08.10</t>
  </si>
  <si>
    <t>Sites are maintained in a clean and hygienic condition.</t>
  </si>
  <si>
    <t>Sites shall be kept in a clean and hygienic condition in order to:
- Reduce the risk of disease and pathogen spread between operation areas and/or production units
- Comply with the environmental management plan, taking into account the perimeter of the farm
No “N/A.”</t>
  </si>
  <si>
    <t>AQ-Smart 20.08.11</t>
  </si>
  <si>
    <t>A risk assessment that includes the need for incoming water disinfection in hatcheries and subsequent impact of discharge water is in place.</t>
  </si>
  <si>
    <t>A risk assessment that includes consideration of the need for incoming water to be disinfected in hatcheries shall be in place. If disinfection is required, it shall be carried out effectively. Reference shall be made to the environmental impact assessment (refer to AQ 06.03.01) with respect to release of pathogens and/or disinfectants.</t>
  </si>
  <si>
    <t>AQ-Smart 20.09.01</t>
  </si>
  <si>
    <t>Equipment and systems are designed, installed, and operated so as to minimize the risk of compromising farmed aquatic species’ health and minimize the risk of farmed aquatic species escapes.</t>
  </si>
  <si>
    <t>Equipment and systems shall be designed, installed, and operated to minimize the risk of compromising farmed aquatic species’ health and welfare and minimize the risk of escapes. Workers shall be able to demonstrate awareness at interview.</t>
  </si>
  <si>
    <t>AQ-Smart 20.09.02</t>
  </si>
  <si>
    <t>Measures are in place to prevent the escape of farmed stock into the local watercourse or ingress of indigenous species into the farmed aquatic species holding areas.</t>
  </si>
  <si>
    <t>The contingency plans, records of all escaped farmed aquatic species for the previous 12 months, and documentation that escape incidents have been reported to the authorities shall be in place for all sites. The hatchery/farm shall have an effective and documented procedure to prevent accidental release of stock into the environment. Where applicable, pen structures and moorings shall be inspected according to a documented schedule based on the risk assessment. Routine maintenance and repair or replacement shall be actioned and recorded.</t>
  </si>
  <si>
    <t>AQ-Smart 20.09.03</t>
  </si>
  <si>
    <t>Machinery and equipment (including filters) critical to ensuring good farmed aquatic species health and welfare have maintenance records.</t>
  </si>
  <si>
    <t>For machinery and equipment critical to ensuring good farmed aquatic species health and welfare (e.g., oxygen probes), a record shall be kept with the following: details of maintenance and calibration, details of calibration or verification of the testing and monitoring equipment by a second party. Records demonstrating appropriate maintenance and calibration or verification shall be in place.</t>
  </si>
  <si>
    <t>AQ-Smart 20.09.04</t>
  </si>
  <si>
    <t>Where farmed aquatic species health and welfare is dependent upon automatic systems/equipment (oxygen level, pump pressure, etc.), the systems are equipped with alarms and backup systems.</t>
  </si>
  <si>
    <t>Where farmed aquatic species health and welfare may be compromised due to system/equipment failure, this equipment/system shall be equipped with alarms in case of failure. These alarms shall be tested on a regular basis. Records of alarm testing shall be in place. A system for notifying the responsible person(s) shall be in place.</t>
  </si>
  <si>
    <t>AQ-Smart 20.09.05</t>
  </si>
  <si>
    <t>Where risk assessments show that oxygen levels could drop below the minimum for farmed aquatic species health and welfare, oxygen supplementation systems are available and maintained in good repair.</t>
  </si>
  <si>
    <t>An oxygenation supplementation system shall be available for the peak stocking density at lowest predictable oxygen levels. A backup oxygen supplementation system shall be available in case of failure of the principal system. For closed recirculation systems, equipment to saturate water with O2 is necessary due to the high density of farmed aquatic species. Refer to AQ 20.02.14 on the risk assessment on animal welfare.</t>
  </si>
  <si>
    <t>AQ-Smart 21.01</t>
  </si>
  <si>
    <t>AQ 21 SAMPLING AND TESTING OF FARMED AQUATIC SPECIES</t>
  </si>
  <si>
    <t>A sampling program, including frequency of testing, based on likely contaminants, residues, and substances for the type and location of the aquaculture operation and feed ingredients is in place.</t>
  </si>
  <si>
    <t>Based on the food safety risk assessment, farmed aquatic species tissue residue analyses shall be carried out to verify compliance with maximum residue limits (MRLs) for approved medicines and treatments and to verify that no residues of nonapproved substances are present.
The list of substances to be analyzed shall be based on:
- Local/National legislation
- Requirements given by the customer(s) 
- Substances listed in the aquaculture health plan (AHP)
Analysis frequency shall be determined based on the risks identified in the sampling program. Analysis results shall be available for the certification body (CB) audit.
No “N/A.”</t>
  </si>
  <si>
    <t>AQ-Smart 21.02</t>
  </si>
  <si>
    <t>The laboratory used to test for likely contaminants, residues, and substances is accredited to the ISO/IEC 17025 standard or successfully participating in a proficiency ring-testing program.</t>
  </si>
  <si>
    <t>Testing as required according to point AQ 21.01 shall be carried out by a laboratory accredited to ISO/IEC 17025 or having evidence of successful participation in a proficiency ring-testing program. Accreditation shall be demonstrated either on official letter head or in accreditation schedules. Documentation that shows the laboratory is in the process of accreditation to the applicable scope by a competent national authority is acceptable. Nonaccredited laboratories shall have documentary evidence of successful participation in proficiency ring-testing for the applicable scope. Where national surveillance and control programs operate, these can be used as supportive evidence.</t>
  </si>
  <si>
    <t>AQ-Smart 21.03</t>
  </si>
  <si>
    <t>Laboratory test results are traceable to the specific batch.</t>
  </si>
  <si>
    <t>The laboratory test results shall be traceable to the specific batches or production units’ ID (refer to AQ 20.01.02).
No “N/A.”</t>
  </si>
  <si>
    <t>AQ-Smart 22.01.01</t>
  </si>
  <si>
    <t xml:space="preserve">AQ 22 FEED MANAGEMENT </t>
  </si>
  <si>
    <t>Farmed aquatic species receive a compound feed diet which is suitable for the species farmed.</t>
  </si>
  <si>
    <t>Documentation and specification of the compound feed used (including for cohabitant species) shall demonstrate its suitability.</t>
  </si>
  <si>
    <t>AQ-Smart 22.01.02</t>
  </si>
  <si>
    <t>Compound feed used on the farm, for both targeted species and cohabitant species, has been manufactured by and obtained from a recognized source.</t>
  </si>
  <si>
    <t>The compound feed manufacturing (CFM) production locations from which the feed is sourced (whether internal or external), shall be certified against at least one of the following:
i) GLOBALG.A.P. CFM standard
ii) A standard that has been successfully benchmarked against the GLOBALG.A.P. CFM standard
iii) A feed safety scheme accredited to either ISO/IEC Guide 17065 or ISO/IEC 17021*
For compound feed recognized through option iii), a letter from the feed supplier stating compliance with the GLOBALG.A.P. CFM standard version 3, section A 5, “Responsible sourcing of feed materials” shall be in place.
For option i), the CFM production locations shall be registered in the GLOBALG.A.P. IT systems (by the time of the producer’s first certification body (CB) audit) with a GLOBALG.A.P. Number (GGN) that will link it to the aquaculture producer. For options ii) and iii), registration of supplier name and accredited scheme used shall replace the GGN in the GLOBALG.A.P. IT systems. 
Refer to the GLOBALG.A.P. website, “Compound Feed Manufacturing/Recognized feed safety schemes.”
*ISO/IEC 17065 (same as EN 45011): Conformity assessment – Requirements for bodies certifying products, processes and services. 
ISO/IEC 17021 (former EN 45012): Conformity assessment – Requirements for bodies providing audit and certification of management systems.</t>
  </si>
  <si>
    <t>AQ-Smart 22.01.03</t>
  </si>
  <si>
    <t>If the hatchery uses either raw and unpasteurized or live feed, this is based on a food safety and biosecurity risk assessment.</t>
  </si>
  <si>
    <t>Specific to hatcheries: A risk assessment shall be available to show that either raw and unpasteurized or live feed (artemia, microalgae, rotifers, etc.) will not affect the biosecurity of the farmed aquatic species and will not have a negative impact on food safety and animal welfare. Evidence of routine surveillance disease monitoring for pathogens shall be in place and make up part of the risk assessment. If the use of compound feed is possible, it shall be the preferred solution.</t>
  </si>
  <si>
    <t>AQ-Smart 22.01.04</t>
  </si>
  <si>
    <t>Protein elements in the compound feed are not obtained from the same farmed aquatic species, unless hydrolyzed protein of the same species is verified as adequate.</t>
  </si>
  <si>
    <t>Feed specifications and specific records on the proteins used shall be in place, and these shall demonstrate that proteins are sourced from different farmed aquatic species. If protein elements are obtained from the same species: Protein hydrolysates (peptide size) of the same species shall be tested to verify that &lt;10,000 Daltons are permissible, and documentation from feed suppliers of such testing shall be in place. The term “hydrolyzed proteins” refers to polypeptides, peptides, and amino acids, and mixtures thereof, obtained by the hydrolysis of animal by-products.</t>
  </si>
  <si>
    <t>AQ-Smart 22.02.01</t>
  </si>
  <si>
    <t>Batches of feed are traceable from the feed manufacturer to the batch of farmed aquatic species stock.</t>
  </si>
  <si>
    <t>Batches of feed from the feed manufacturer shall be traceable to batches of farmed aquatic species stock. A verification system or documentation shall be in place.</t>
  </si>
  <si>
    <t>AQ-Smart 22.02.02</t>
  </si>
  <si>
    <t>Documentary records of feed suppliers from whom compound feeds have been purchased are kept for two years or one year longer than the life cycle of the farmed aquatic species, whichever is longer.</t>
  </si>
  <si>
    <t>Records of feed purchases (e.g., invoices) shall be in place and held for two years or one year longer than the life cycle of the farmed aquatic species whichever is longer. Records shall include the type of feed, quantity, source, and date of delivery.</t>
  </si>
  <si>
    <t>AQ-Smart 22.02.03</t>
  </si>
  <si>
    <t>Farms obtain from their feed suppliers a declaration that the composition of each feed conforms to the GLOBALG.A.P. requirements on fishmeal and fish oil.</t>
  </si>
  <si>
    <t>Statements specifying conformance shall be in place. The compound feed supplier shall provide information on the fishmeal and fish oil composition upon request, including fish meal and fish oil percentage and, where possible, origin (wild catch, industrial by-products, other).
Farms shall have in place a fish-in/fish-out ratio (whole fish from wild catch).
The self-assessment/internal audit and certification body (CB) audit reports shall have at least two values recorded: average fish meal and fish oil percentage (where possible, both described for each origin) and the fish-in/fish-out ratio.</t>
  </si>
  <si>
    <t>AQ-Smart 22.02.04</t>
  </si>
  <si>
    <t>Feed is consumed before the shelf life expires.</t>
  </si>
  <si>
    <t>Feed for which the shelf life has expired shall not be used, but shall be disposed of in an environmentally responsible manner according to documented procedures. Feed in storage shall be verified for expiry dates on labels.</t>
  </si>
  <si>
    <t>AQ-Smart 22.02.05</t>
  </si>
  <si>
    <t>Records of feed conversion ratios (FCRs) and efficient use of feed monitoring systems are in place.</t>
  </si>
  <si>
    <t>Records of FCRs and efficient use of feed monitoring systems shall be in place.
Overfeeding shall be avoided at all times.
The economic feed conversion ratio (eFCR) is the quantity of feed used to produce the quantity of fish harvested (net production is the live weight):
eFCR = Feed (in kg or mt) divided by net aquaculture production (in kg or mt; live weight)
The self-assessment/internal audit and certification body (CB) audit reports shall have at least one FCR value recorded: eFCR per production life cycle.</t>
  </si>
  <si>
    <t>AQ-Smart 22.02.06</t>
  </si>
  <si>
    <t>The producer shows evidence that there is a procedure in place to collect and store samples of feed used during the grow-out period.</t>
  </si>
  <si>
    <t>The producer shall show evidence that there is a procedure in place to collect and store samples of batches of feed – taken by the producer or by the feed manufacturer – starting at least four months before harvest and continued during the grow-out period. The samples shall be retained for at least six weeks after sale of the farmed aquatic species.
Workers shall be able to demonstrate awareness at interview.</t>
  </si>
  <si>
    <t>AQ-Smart 22.03.01</t>
  </si>
  <si>
    <t>Specific feeds for different farmed aquatic species are clearly identified.</t>
  </si>
  <si>
    <t>The site and records shall be verified to prove identification of feedstuffs for different farmed aquatic species.</t>
  </si>
  <si>
    <t>AQ-Smart 22.03.02</t>
  </si>
  <si>
    <t>Feeds, including all medicated feeds, are stored and handled according to label instructions to minimize any risk of contamination.</t>
  </si>
  <si>
    <t>Proper training and instructions for storing, checking, and handling aquaculture feeds shall be in place and implemented for regular and medicated feeds (separated for different species and for parallel ownership, where applicable). The storage sites and feed components shall be checked at regular intervals for cleanliness, fungus, molds, temperature, and other potential contamination.</t>
  </si>
  <si>
    <t>AQ-Smart 22.03.03</t>
  </si>
  <si>
    <t>Documented instructions on how to deal with contaminated feed, excess medicated feed, and flushed feed are in place.</t>
  </si>
  <si>
    <t>There shall be documented instructions in place regarding the storage, checking, and handling of aquaculture feeds. The documentation shall include evidence that consideration has been given to preharvest withdrawal periods following the use of flushed feed. There shall be a preharvest withdrawal period, beginning when medicated feed is flushed from the farm feeding system; flushed feeds (feed intended to clear residues from the feed system) shall have been used. 
Instructions shall include withdrawal and containment of contaminated feedstuffs.
Workers shall demonstrate awareness at interview.</t>
  </si>
  <si>
    <t>AQ-Smart 22.03.04</t>
  </si>
  <si>
    <t>Medicated feeds and contaminated feeds are kept in separate, clearly labeled, and identified bulk or bag storage.</t>
  </si>
  <si>
    <t>The site and records shall be verified to prove that there is no cross contamination between medicated and nonmedicated feed. Clear labeling/identification shall be in place.</t>
  </si>
  <si>
    <t>AQ-Smart 23.01</t>
  </si>
  <si>
    <t>AQ 23 PEST CONTROL</t>
  </si>
  <si>
    <t>The producer or subcontractor controls the risk of pest infestation in buildings.</t>
  </si>
  <si>
    <t>Monitoring records of identified risk locations and preventive measures shall be in place and available. The location of all pest control measures shall be identified on a plan/diagram of the site, which plan/diagram shall include all operations.
No “N/A.”</t>
  </si>
  <si>
    <t>AQ-Smart 24.01.01</t>
  </si>
  <si>
    <t>AQ 24 HARVESTING AND POSTHARVESTING OPERATIONS</t>
  </si>
  <si>
    <t>Harvesting and transport, where under the responsibility of the producer, is undertaken in a way that does not compromise food safety.</t>
  </si>
  <si>
    <t>A documented harvest plan and transport hygiene records (including temperature, where applicable) shall be in place. Transportation shall maintain traceability and follow local legislation on movement of farmed aquatic species.</t>
  </si>
  <si>
    <t>AQ-Smart 24.01.02</t>
  </si>
  <si>
    <t>For transportation to the product handling unit (PHU)/processing plant, farmed aquatic species are transported in clean conditions (containers or pipes) which prevent contamination during handling.</t>
  </si>
  <si>
    <t>All facilities shall be available for certification body (CB) auditing activities. Cleaning records shall be available for the CB audit. Lids shall be secured to prevent loss of farmed aquatic species and leakage during handling. Workers shall be able to demonstrate awareness at interview.
No “N/A.”</t>
  </si>
  <si>
    <t>AQ-Smart 24.01.03</t>
  </si>
  <si>
    <t>The temperature of the product is reduced as quickly as possible towards the temperature of melting ice.</t>
  </si>
  <si>
    <t>Working instructions shall ensure appropriate cooling. The temperature records shall be available for the certification body (CB) audit.</t>
  </si>
  <si>
    <t>AQ-Smart 24.01.04</t>
  </si>
  <si>
    <t>If ice comes into contact with the product, it is initially manufactured from potable water according to applicable legislative requirements and transported in hygienic containers.</t>
  </si>
  <si>
    <t>Records of ice supply, the verification of water quality used in ice manufacturing, and documentation of transport conditions of ice shall be in place.</t>
  </si>
  <si>
    <t>AQ-Smart 24.02.01</t>
  </si>
  <si>
    <t>Traceability of the harvested farmed aquatic species is maintained up to the packing/process line, including packaging where the producer is responsible for packing.</t>
  </si>
  <si>
    <t>The farm records for all farmed aquatic species shall be available for the certification body (CB) audit.
No “N/A.”</t>
  </si>
  <si>
    <t>AQ-Smart 24.02.02</t>
  </si>
  <si>
    <t>It is possible to trace a batch of farmed aquatic species from the packing case back to the brood stock.</t>
  </si>
  <si>
    <t>Traceability records throughout the life cycle shall demonstrate that all origins and movements are traceable and shall be available for the certification body (CB) audit.</t>
  </si>
  <si>
    <t>AQ-Smart 25.01.01</t>
  </si>
  <si>
    <t>AQ 25 HOLDING AND CROWDING FACILITIES</t>
  </si>
  <si>
    <t>Workers responsible for harvest operations have appropriate training in farmed aquatic species welfare and handling techniques.</t>
  </si>
  <si>
    <t>Workers shall be able to demonstrate competence at interview. Training records and certificates for each worker with allocated functions or jobs shall be verified.</t>
  </si>
  <si>
    <t>AQ-Smart 25.01.02</t>
  </si>
  <si>
    <t>The condition of the farmed aquatic species is monitored regularly prior to transfer to the point of harvest, avoiding unnecessary stress of the farmed aquatic species.</t>
  </si>
  <si>
    <t>Records of monitoring shall be audited by the certification body (CB). A designated worker shall be tasked with constant monitoring during transport and be appropriately trained in identifying/remedying any welfare indicators that become compromised throughout the entire transport process. Refer to AQ 04.02.04. Also applicable for subcontracted activities.</t>
  </si>
  <si>
    <t>AQ-Smart 25.01.03</t>
  </si>
  <si>
    <t>The oxygen level of the holding areas is controlled and recorded.</t>
  </si>
  <si>
    <t>Documented records shall be available on site to demonstrate control of the oxygen level.</t>
  </si>
  <si>
    <t>AQ-Smart 25.01.04</t>
  </si>
  <si>
    <t>Farmed aquatic species holding facilities, including live fish well boats, are NOT contaminated by blood water, factory effluent, and/or spillage or discharge from marine traffic.</t>
  </si>
  <si>
    <t>Farmed aquatic species holding facilities, including live farmed aquatic species well boats, shall not be contaminated. Records of blood water and effluent disposal shall be in place and collection facilities verified. The environmental risk assessment (refer to AQ 06.03.01) shall also include fuel spillage risk at farmed aquatic species holding facilities.</t>
  </si>
  <si>
    <t>AQ-Smart 25.02.01</t>
  </si>
  <si>
    <t>The producer has a plan to monitor and record trend analysis in mortality.</t>
  </si>
  <si>
    <t>Site plans to monitor mortality and records of mortality trend analysis shall be assessed.</t>
  </si>
  <si>
    <t>AQ-Smart 25.02.02</t>
  </si>
  <si>
    <t>For the legal disposal of large-scale mortalities, a contingency/action plan is in place in case of a severe disease episode or mass mortality.</t>
  </si>
  <si>
    <t>The contingency/action plan shall be verified and shall comply with legal requirements where these exist. Workers shall be able to demonstrate awareness at interview.</t>
  </si>
  <si>
    <t>AQ-Smart 25.02.03</t>
  </si>
  <si>
    <t>Mortalities are recorded and removed from the holding areas and reasons for death are recorded, where known.</t>
  </si>
  <si>
    <t>Records of cause of death shall be verified.</t>
  </si>
  <si>
    <t>AQ-Smart 25.03.01</t>
  </si>
  <si>
    <t>Measures are in place to prevent escape of farmed stock into the local watercourse and to prevent indigenous species’ entry into the farmed aquatic species’ holding areas.</t>
  </si>
  <si>
    <t>The producer shall be able to demonstrate that measures are in place to prevent escapes and ingress of indigenous species into the holding areas. The contingency plans, records of all escaped farmed aquatic species for the previous certified cycle, and confirmation that all escapes have been reported to the authorities for all sites shall be verified.</t>
  </si>
  <si>
    <t>AQ-Smart 26.01.01</t>
  </si>
  <si>
    <t>AQ 26 SLAUGHTER ACTIVITIES</t>
  </si>
  <si>
    <t>There is feedback relating to animal welfare from slaughter facility/primary processing plant to the farm.</t>
  </si>
  <si>
    <t>Health indicators on the exterior such as damage (scale loss, fin erosion, predator bites, handling scars, lesions resulting from aggression, parasite lesions, etc.), deformities, and internal signs (blood pH, flesh color, appearance of viscera, blood spots, etc.) shall be noted upon slaughter. There shall be a feedback system of such information in relation to farmed aquatic species health and welfare on the farm.</t>
  </si>
  <si>
    <t>AQ-Smart 26.01.02</t>
  </si>
  <si>
    <t>The slaughter method used is specified in the aquaculture health plan (AHP) with consideration of the farmed aquatic species welfare.</t>
  </si>
  <si>
    <t>The slaughter method used shall be specified in the AHP and considers farmed aquatic species welfare. Workers shall be able to demonstrate awareness at interview.</t>
  </si>
  <si>
    <t>AQ-Smart 26.01.03</t>
  </si>
  <si>
    <t>Harvesting workers receive farmed aquatic species welfare training in relation to the slaughter process.</t>
  </si>
  <si>
    <t>Records of training in farmed aquatic species welfare in relation to the slaughter process, including specific training in the stunning and bleeding techniques (where applicable), shall be in place. Workers shall be able to demonstrate awareness at interview.</t>
  </si>
  <si>
    <t>AQ-Smart 26.01.04</t>
  </si>
  <si>
    <t>Farmed aquatic species are effectively stunned, with consideration of farmed aquatic species welfare.</t>
  </si>
  <si>
    <t>Farmed aquatic species shall be stunned using an effective stunning method and immediately become unconscious. Monitoring procedures shall be in place.
Monitoring procedures shall include manufacturer guidance, where applicable, and effectiveness of the stunner. Refer to “Aquatic animal health code,” section “Stunning and killing methods” of the World Organization for Animal Health (www.woah.org).
If technology is available for a particular species and proven to be effective, the use of ice slurry or asphyxia shall be phased out.</t>
  </si>
  <si>
    <t>AQ-Smart 26.01.05</t>
  </si>
  <si>
    <t>When farmed aquatic species are bled, this is done immediately after stunning.</t>
  </si>
  <si>
    <t>Farmed aquatic species shall be bled immediately after stunning and remain unconscious while they bleed to death. Monitoring procedures shall be in place to verify that no farmed aquatic species show signs of recovery.</t>
  </si>
  <si>
    <t>AQ-Smart 26.02.01</t>
  </si>
  <si>
    <t>Blood water is collected and treated before disposal and does not cause any veterinary or environmental threat.</t>
  </si>
  <si>
    <t>Blood water shall be contained for disposal. Treatment shall ensure no veterinary or environmental threat. Collection and disposal records shall be available for the certification body (CB) audit.</t>
  </si>
  <si>
    <t>AQ-Smart 27.01</t>
  </si>
  <si>
    <t>AQ 27 DEPURATION</t>
  </si>
  <si>
    <t>Bivalve molluscs supplied directly to the consumer are depurated.</t>
  </si>
  <si>
    <t>Farms producing bivalve molluscs to be supplied directly for human consumption shall carry out depuration according to legal requirements or industry standards and in accordance with the requirements of the Codex Alimentarius. Records of depuration time and the parameters for effective depuration shall be in place. All batches of bivalves shall be traced to harvesting areas when received at depuration stations. Documentation or internal procedures shall demonstrate a monitoring plan, including red tides where the molluscs have been farmed.</t>
  </si>
  <si>
    <t>AQ-Smart 28.01.01</t>
  </si>
  <si>
    <t>AQ 28 POSTHARVEST – MASS BALANCE AND TRACEABILITY</t>
  </si>
  <si>
    <t>The producer has been granted the legal right to carry out postharvest handling of farmed aquatic species.</t>
  </si>
  <si>
    <t>There shall be documentation clearly demonstrating that the producer has been granted the legal right to carry out postharvest handling of farmed aquatic species.
No “N/A.”</t>
  </si>
  <si>
    <t>AQ-Smart 28.01.02</t>
  </si>
  <si>
    <t>The producer operates a management structure that addresses the postharvest requirements, including well-documented procedures, processes, and workers’ training that are appropriate to the postharvest unit’s size, type, and complexity of activities.</t>
  </si>
  <si>
    <t>- The producer shall have a central responsible person for managing conformance to the postharvest criteria; responding to requests for information and documents; and communicating with trade partners, the certification body/bodies (CBs), and the GLOBALG.A.P. Secretariat. 
- The producer shall document postharvest handling procedures and processes in a manner appropriate to the postharvest unit’s size, type, and complexity of activities. Cross-reference with AQ 02.02.
- There shall be evidence of worker training based on responsibilities. Evidence of animal welfare and food safety training, where applicable to the operations, shall be available for the CB audit. 
No “N/A.”</t>
  </si>
  <si>
    <t>AQ-Smart 28.01.03</t>
  </si>
  <si>
    <t>An annual self-assessment/internal audit of conformance to the standard is conducted at postharvest unit level.</t>
  </si>
  <si>
    <t>A completed self-assessment/internal audit no older than 12 months shall be available at the time of the certification body (CB) audit. Cross-reference with AQ 02.07.
No “N/A.”</t>
  </si>
  <si>
    <t>AQ-Smart 28.01.04</t>
  </si>
  <si>
    <t>A documented mass balance calculation is performed for all processes at the postharvest unit.</t>
  </si>
  <si>
    <t>Documentation of the mass balance calculation shall show that the quantity of products sold as certified does not exceed the quantity of inputs from certified sources. These outputs shall be calculated as inputs received as certified minus conversion loss and quantity in storage.
Information on the quantity (weight) of all certified, noncertified, incoming, outgoing, and stored products shall be recorded. A summary of these records shall be available so as to facilitate the mass balance verification process.
The conversion loss rates (processing yields) of certified outputs originating from certified inputs shall be calculated, verified (based on average industrial yield), and recorded for each step between receipt and dispatch of certified products. Records of the calculations of conversion loss rates shall be available to certification body (CB) auditors. Parameters such as by-products generated, rejected/returned items, etc. shall be taken into consideration. An up-to-date list of conversion rates shall be available.
No “N/A.”</t>
  </si>
  <si>
    <t>AQ-Smart 28.01.05</t>
  </si>
  <si>
    <t>For each postharvest unit, the producer has a documented procedure to ensure that non-conformances and complaints related to certified products are recorded, addressed, and resolved.</t>
  </si>
  <si>
    <t>A documented procedure shall be in place to ensure that non-conformances and complaints related to certified products are recorded, addressed, and resolved, including a record of actions taken.
No “N/A.”</t>
  </si>
  <si>
    <t>AQ-Smart 28.01.06</t>
  </si>
  <si>
    <t>For each postharvest unit, the producer maintains an up-to-date list of all subcontractors that handle certified products, and these subcontractors are classified in accordance with a risk assessment.</t>
  </si>
  <si>
    <t>For each postharvest unit, the producer shall keep available a list of all subcontractors that handle certified products as part of AQ 05.01 compliance evidence along with evidence of the last certification status verification update. 
All subcontractors shall be classified according to the risk related to misidentification, substitution, or dilution of certified products with noncertified products.
“N/A” if no subcontractors are used.
Based on the rules of the GLOBALG.A.P. Chain of Custody (CoC) standard, the following guidance on subcontractor risk assessments applies for subcontractors:
a) Subcontractors shall be audited by a certification body (CB) according to the risk related to misidentification, substitution, or dilution of certified products with noncertified products: 
(i) Subcontractors that engage in (re)processing, (re)packing, and/or (re)labeling of certified products, that engage in storage and handling of bulk products (unpacked, unsealed, or unlabeled), or that engage directly in storage and handling of packed but unlabeled products are classified as high-risk. 
(ii) Subcontractors that engage in storage and handling of packed, sealed, and labeled products with minimal risk of product mixing or identity modification are classified as low-risk.
b) If the subcontractor has not been audited by a CB, neither achieved Integrated Farm Assurance (IFA) nor Chain of Custody (CoC) certification, the CB shall perform an on-site risk-based sampling audit at the subcontracted postharvest handling operations. Subcontractors with high-risk processes related to the scope ((re)packing, (re)labeling, any type of (re)processing, etc.) shall be audited by a CB every year.
c) Subcontractors with low-risk processes do not need to be audited annually by the CB. A list of subcontractors classified as low-risk shall be continuously updated, and the CB shall be immediately informed of any new low-risk subcontractor.</t>
  </si>
  <si>
    <t>AQ-Smart 28.01.07</t>
  </si>
  <si>
    <t>For each postharvest unit, the producer demonstrates that high-risk subcontractors (subcontractors carrying out the activities described in AQ 28.01.06) are audited within the producer’s certification or have valid Chain of Custody (CoC) or Integrated Farm Assurance (IFA) certification.</t>
  </si>
  <si>
    <t>For each postharvest unit, the producer shall demonstrate that high-risk subcontractors either are audited annually within the producer’s certification or have their own valid CoC or IFA certification.</t>
  </si>
  <si>
    <t>AQ-Smart 28.01.08</t>
  </si>
  <si>
    <t>The producer keeps accurate purchase and sales records for each postharvest unit.</t>
  </si>
  <si>
    <t>For each postharvest unit, the producer shall keep and make available relevant purchase and sales records, including but not limited to: purchase orders, purchased products and quantities, purchase contracts, supplier invoices, supplier delivery notes, transporter or shipper details, incoming goods receipt inspections, receipts/invoices detailing sold products and quantities, sales contracts, sales invoices, sales delivery notes, transporter or shipper details, outgoing goods shipment inspections.
If the producer acts as a subcontracted party for postharvest handling, incoming and outgoing delivery documents shall be kept.
No “N/A.”</t>
  </si>
  <si>
    <t>AQ-Smart 28.01.09</t>
  </si>
  <si>
    <t>Postharvest handling records are kept for a minimum of one year after the products’ expiration date or as per legal requirements, whichever is longer.</t>
  </si>
  <si>
    <t>Records shall be kept for a minimum of one year after the products’ expiration date or as per legal requirements, whichever is longer.
No “N/A.”</t>
  </si>
  <si>
    <t>AQ-Smart 28.02.01</t>
  </si>
  <si>
    <t>Before or during the transfer of ownership, the producer has a procedure for systematically authenticating, via the GLOBALG.A.P. IT systems, suppliers’ GLOBALG.A.P. Numbers (GGNs) or Chain of Custody (CoC) Numbers, the expiration date of their certificates, and the country of destination included in each certificate.</t>
  </si>
  <si>
    <t>Inputs shall be verified in all cases.
Suppliers providing certified products to the producer shall have Integrated Farm Assurance (IFA) certification (or certification to an equivalent benchmark scheme) or Chain of Custody (CoC) certification. The producer shall have a procedure in place for systematically authenticating each direct supplier’s GGN or CoC Number, verifying the expiration date of their certificate, and confirming the country of destination included in the scope of the supplier certificate. This procedure shall use the GLOBALG.A.P. IT systems for verification and shall ensure that each supplier’s certificate is verified on a regular basis and is valid at the moment products are purchased/received by the producer. 
The producer shall maintain records (including GGN and/or CoC Number) of suppliers from which they buy certified products. A log or other evidence of supplier verification shall be available.</t>
  </si>
  <si>
    <t>AQ-Smart 28.02.02</t>
  </si>
  <si>
    <t>For each postharvest unit, the producer verifies that the product and quantity received internally or from suppliers with GLOBALG.A.P. certification (GLOBALG.A.P. Number (GGN) or Chain of Custody (CoC) Number), match the information in the delivery documents and purchase orders.</t>
  </si>
  <si>
    <t>For each postharvest unit, the producer shall have in place a procedure to verify that the quantity of each certified product received matches the information in the delivery documents and/or purchase orders. A log or other evidence of matching delivery documents and/or purchase orders shall be available.</t>
  </si>
  <si>
    <t>AQ-Smart 28.02.03</t>
  </si>
  <si>
    <t>The producer has a written procedure in place for recording and reporting delivery discrepancies during operations at each postharvest unit. Products that have been ordered as certified but delivered without the supplier’s GLOBALG.A.P. Number (GGN) or Chain of Custody (CoC) Number in sales documents or in internal delivery notes and/or that fail the input/output verification are immediately relabeled as noncertified and handled as noncertified products.</t>
  </si>
  <si>
    <t>For each postharvest unit, a written procedure shall be in place for recording and reporting delivery discrepancies, and a log of delivery discrepancies shall be available. Products that have been ordered as certified but delivered without the supplier’s GGN or CoC Number in sales documents or in internal delivery notes and/or that fail the input/output verification shall be immediately relabeled as noncertified and handled as noncertified products. Corrective action by the supplier resulting in a reinstatement of the certification status and in product relabeling and handling shall be documented.</t>
  </si>
  <si>
    <t>AQ-Smart 28.02.04</t>
  </si>
  <si>
    <t>The producer has a procedure for systematically filing a complaint with the GLOBALG.A.P. Secretariat any time a supplier fails the input verification in the GLOBALG.A.P. IT systems (certificate may be counterfeit, issued to another legal entity, expired, etc.).</t>
  </si>
  <si>
    <t>Failure to a find a supplier’s GLOBALG.A.P. Number (GGN) or Chain of Custody (CoC) Number (certificate may be counterfeit), to authenticate legal credentials (certificate may have been issued to another legal entity), and/or to establish certificate validity (certificate may have expired) in the GLOBALG.A.P. IT systems may indicate fraud on the part of the supplier. The producer shall have a procedure for systematically filing a complaint with the GLOBALG.A.P. Secretariat any time a supplier fails the input verification in the GLOBALG.A.P. IT systems. The complaint shall include the supplier’s GGN or CoC Number as well as identifying information.</t>
  </si>
  <si>
    <t>AQ-Smart 28.02.05</t>
  </si>
  <si>
    <t>If a trade partner requires output verification, the producer has a procedure for systematically verifying the expiration date(s) of suppliers’ certificates in the GLOBALG.A.P. IT systems before certified products are shipped out to that trade partner.</t>
  </si>
  <si>
    <t>Trade partners purchasing products as certified and labeled with the GLOBALG.A.P. Number (GGN), the Chain of Custody (CoC) Number, and/or the GGN label may request output verification. The producer shall verify the validity of the respective supplier’s certificate in the GLOBALG.A.P. IT systems. This verification shall occur before or during the product shipping process and shall be recorded in a log or other documentation protocols. This log/documentation shall be available to certification body (CB) auditors. Products labeled with a GGN, CoC Number, and/or GGN label shall not be shipped if the supplier’s certification status changes from valid during production and storage to nonvalid at the time of shipment to trade partners. Output verification requested by trade partners shall be disclosed to the relevant CB. A clearly documented procedure, with remedial steps and actions to be taken when a supplier’s certification status changes from valid during production and storage to nonvalid at the time of shipment to trade partners, shall be in place. 
“N/A” if the trade partner does not request output verification.</t>
  </si>
  <si>
    <t>AQ-Smart 28.02.06</t>
  </si>
  <si>
    <t>The GLOBALG.A.P. word, trademarks, logo, and the GLOBALG.A.P. Number (GGN) are used on outgoing products in accordance with the GLOBALG.A.P. general regulations and “GLOBALG.A.P. trademarks use: Policy and guidelines.”</t>
  </si>
  <si>
    <t>The GLOBALG.A.P. general regulations and “GLOBALG.A.P. trademarks use: Policy and guidelines” shall be consulted and followed with regard to trademarks use and product labeling.</t>
  </si>
  <si>
    <t>AQ-Smart 28.03.01</t>
  </si>
  <si>
    <t>The producer uses either the product segregation method or the identity preservation method to ensure traceability.</t>
  </si>
  <si>
    <t>The producer shall ensure traceability in one of the following ways:
- By using the segregation method to ensure traceability to more than one certified Option 1 individual producer or Option 2 producer group
- By using the identity preservation method to ensure traceability to a certified Option 1 individual producer or Option 2 producer group
- By using both segregation and identity preservation methods
Segregation method
The segregation method permits mixing of certified products from a variety of certified producers. Physical mixing of certified products from different certified producers shall be documented accordingly, via traceability data linked to a traceability code (e.g., batch number). Certified products shall not be physically mixed with noncertified products (with the exception of multi-ingredient retail consumer items). 
The producer shall label the final product with their GLOBALG.A.P. Number (GGN) and a traceability code (e.g., batch number) which links it to either the CoC Numbers of suppliers or to the GGN of an Option 1 individual producer (or Option 2 producer group).
If some but not all ingredients of a multi-ingredient product come from certified production processes, the GGN of the certified producer shall be specified. The different sources of the different ingredients in a multi-ingredient product shall be separately identified – e.g., pangasius (producer #1 GGN), tilapia (producer #2 GGN) – and the producer’s GGN or processor’s/packer’s GGN or CoC Number, if outsourced, shall be specified.
Identity preservation method
If the GGN is used as the traceability code (e.g., batch number), the product identity preservation method shall be used. The identity preservation method prohibits the physical mixing of certified products with other certified or noncertified products. Products from different certified producers shall not be physically mixed. The identity preservation of products shall be documented accordingly. The certified product shall be traced back to a certified producer.
The producer shall label the final identity preserved product with their GGN and with the GGN(s) of the producer(s) of origin.</t>
  </si>
  <si>
    <t>AQ-Smart 28.03.02</t>
  </si>
  <si>
    <t>There is a traceability system in place.</t>
  </si>
  <si>
    <t>Traceability records shall be accurate, complete, and unaltered. For every batch of products sold (or handled, if the producer acts as subcontracting party) as certified, the traceability system shall be capable of tracing the product back from internal sales invoices (or outgoing delivery documents if the producer acts as subcontracted party) to production sites and/or one or more certified suppliers, and of recording and tracing the quantity of certified products between receipt and dispatch, including intermediate processing and storage steps.
No “N/A.”</t>
  </si>
  <si>
    <t>AQ-Smart 28.03.03</t>
  </si>
  <si>
    <t>The producer has documented procedures for managing/initiating withdrawal/recall of certified products from the supply chain or from the market, as appropriate, and these procedures are tested annually.</t>
  </si>
  <si>
    <t>The producer shall have a product withdrawal/recall plan, and the procedure shall be tested annually. Cross-reference with AQ 09.01.
The producer shall have a documented procedure that identifies the type of event that may result in a withdrawal/recall, the persons responsible for making decisions on the possible product withdrawal/recall, the mechanism for notifying the next step in the supply chain and the GLOBALG.A.P. approved certification body (CB), and the methods of reconciling stock. The procedure shall be tested annually to ensure that it is effective. This test shall be recorded (e.g., by picking a recently sold batch, identifying the quantity and whereabouts of the product, and verifying whether the next step involved with this batch and the CB can be contacted). Actual communications of the mock recall to the trading partners are not necessary. A list of telephone numbers and email addresses is sufficient.
If the producer has a valid GFSI-recognized post-farm gate certification for the postharvest unit at the time of the CB audit, this principle and the relevant criteria are considered complied with.
No “N/A.”</t>
  </si>
  <si>
    <t>AQ-Smart 28.03.04</t>
  </si>
  <si>
    <t>The traceability code (e.g., batch number) associates a trade item with relevant information for its traceability.</t>
  </si>
  <si>
    <t>The traceability code (e.g., batch number) shall associate a trade item with relevant information for its traceability. It shall link the batch to the origin of the trade item itself or of the items contained, as well as to the suppliers’ GLOBALG.A.P. Numbers (GGNs) or Chain of Custody (CoC) Numbers.
No “N/A.”</t>
  </si>
  <si>
    <t>AQ-Smart 28.04.01</t>
  </si>
  <si>
    <t>The producer uses the “GGN” prefix correctly, as per the requirements of the standard.</t>
  </si>
  <si>
    <t>The producer shall be identified with a GLOBALG.A.P. Number (GGN). The GGN identifies an Option 1 individual producer or an Option 2 producer group and consists of the prefix “GGN” and a 13-digit number.
Note: This requirement applies both to on-product identification and to use on the sales and transport documents.
No “N/A.”</t>
  </si>
  <si>
    <t>AQ-Smart 28.04.02</t>
  </si>
  <si>
    <t>Transaction and shipment (transport) documentation for the outgoing certified products contains the minimum information required by the standard.</t>
  </si>
  <si>
    <t>Outgoing sales invoices, shipment (transport) documents in paper or electronic format, and all other documentation related to transactions of certified products shall contain at least the following information:
- GLOBALG.A.P. Number (GGN)
- Consignment number, if available
- Shipped product name(s) or identification code(s)
- Shipped quantity (weight or number of units)
- Shipping date
- Logistic unit identification codes, if available
- Certification status, stating: “GLOBALG.A.P. certified” (Cross-reference with AQ 11.01)
Positive identification is sufficient, noncertified status does not need to be identified.
Note: This point applies even if there is a written agreement between the producer and the trading partner not to identify the product with the GGN.</t>
  </si>
  <si>
    <t>AQ-Smart 28.04.03</t>
  </si>
  <si>
    <t>The logistics units, trade items, and/or packed retail consumer items containing certified products are identified with the minimum information required by the standard.</t>
  </si>
  <si>
    <t>Logistics units (pallets, bins, etc.), trade items (boxes, crates, etc.), and/or packed retail consumer items (containers, bags, nets, shrink wrap, clamshells, etc.) shall be identified with at least:
- Chain of Custody (CoC) Number: CoC Number of the supply chain company, where applicable 
- GLOBALG.A.P. Number (GGN) of the producer or producer group (if the company uses the identity preservation method)
- Product name
- Traceability code (e.g., batch number)
Additional information may be displayed depending on the requirements of the trading partner.
“N/A” if there is a written agreement available between the producer and the trading partner not to identify the product with the GGN.</t>
  </si>
  <si>
    <t>AQ-Smart 28.04.04</t>
  </si>
  <si>
    <t>If the product is not individually identified (e.g., bulk product), the producer includes the minimum information required by the standard.</t>
  </si>
  <si>
    <t>Supplementary delivery documents shall contain at least:
- GLOBALG.A.P. Number (GGN) or Chain of Custody (CoC) Number: GGN of the Option 1 individual producer or Option 2 producer group or CoC Number of the supplier(s), where applicable
- Product name or code
- Quantity (weight or number of units)
- Traceability code (e.g., batch number) or producer’s GGN if the supplier is a producer or producer group (identity preservation) or shipping container code (serial number, license plate, etc.)
- Link to sales document information (invoice number, delivery note number, etc.)
Additional information may be shown depending on the requirements of the trading partner.
“N/A” if there is a written agreement between the producer and the trading partner not to identify the product with the GGN.</t>
  </si>
  <si>
    <t>AQ-Smart 28.05.01</t>
  </si>
  <si>
    <t>A valid GGN label license agreement is in place, and a person responsible for conformance to the GGN label license terms and conditions has been identified.</t>
  </si>
  <si>
    <t>The producer shall have been granted approval under the terms of a valid license agreement to use the GGN label visual elements, and there shall be a designated person responsible for the producer’s conformance to the GGN label license terms and conditions.
“N/A” if the producer operates as the subcontractor of a licensed company.</t>
  </si>
  <si>
    <t>AQ-Smart 28.05.02</t>
  </si>
  <si>
    <t>The producer uses packaging bearing the GGN label visual elements only for certified products and uses only packaging designs approved by the GGN label administration.</t>
  </si>
  <si>
    <t>A procedure shall be in place to ensure that only certified products are labeled with the GGN label visual elements. Packaging designs shall be approved by the GGN label administration before use. 
“N/A” if the producer operates as the subcontractor of a licensed company.</t>
  </si>
  <si>
    <t>AQ-Smart 28.05.03</t>
  </si>
  <si>
    <t>Off-label materials (price tags, signs, leaflets, etc.) with GGN label logo used to identify loose products are approved by the GGN label administration before use.</t>
  </si>
  <si>
    <t>Off-label materials shall be approved by the GGN label administration.
“N/A” if the producer does not handle off-label materials with GGN label visual elements.</t>
  </si>
  <si>
    <t>AQ-Smart 28.05.04</t>
  </si>
  <si>
    <t>Trade items and/or packed retail consumer items featuring the GGN label visual elements are labeled with the minimum information required by the GGN label regulations and sanctions.</t>
  </si>
  <si>
    <t>Trade items and/or packed retail consumer items featuring the GGN label visual elements shall be labeled according to the GGN label regulations and sanctions.
At minimum, the following information shall be included:
- GLOBALG.A.P. Number (GGN)
- Product name, including scientific name as listed in the GLOBALG.A.P. product list.
Additional information may be shown on the GGN label visual elements depending on the requirements of the trading partner.
No “N/A.”</t>
  </si>
  <si>
    <t>AQ-Smart 28.05.05</t>
  </si>
  <si>
    <t>If the producer no longer has a valid license agreement for the use of the GGN label visual elements, the packaging with the GGN label visual elements is replaced in the market with packaging without the GGN label visual elements, and all off-product label use is discontinued.</t>
  </si>
  <si>
    <t>If the producer no longer has a valid license agreement for use of the GGN label visual elements, records shall be available of instructions to:
- Replace product packaging bearing the GGN label visual elements in the market with packaging not bearing the GGN label visual elements, and 
-Discontinue all off-product use of the GGN label visual elements.
If the producer is not willing or able to renew the license agreement for the use of the GGN label visual elements, a record of destruction or disposal of the remaining packaging with the GGN label visual elements shall be available.</t>
  </si>
  <si>
    <t>AQ-Smart 28.05.06</t>
  </si>
  <si>
    <t>Products assigned for featuring the GGN label visual elements are identified and segregated from other products.</t>
  </si>
  <si>
    <t>The producer shall have in place procedures to ensure effective identification and segregation of products assigned for featuring the GGN label visual elements.
No “N/A.”</t>
  </si>
  <si>
    <t>AQ-Smart 28.06.01</t>
  </si>
  <si>
    <t>For each postharvest unit, the producer has a food safety system in place at the time of the certification body (CB) audit.</t>
  </si>
  <si>
    <t>This principle and the relevant criteria shall be marked as compliant if the producer has been certified to a GFSI-recognized post-farm gate standard or to a third-party certified Codex Alimentarius-based HACCP system which is accredited at the time of the CB audit.
No “N/A.”
Note: For transparency purposes, the type of recognition is indicated in the GLOBALG.A.P. IT systems.</t>
  </si>
  <si>
    <t>AQ-Smart 28.06.02</t>
  </si>
  <si>
    <t>Documented procedures for managing exceeded legal limits are in place.</t>
  </si>
  <si>
    <t>The producer shall have in place documented procedures in case legal limits are exceeded. These procedures shall include up-to-date records of all cases, including investigation, remedial actions, closure of each case, and notification to suppliers, to the producers of origin, and to the certification body (CB).</t>
  </si>
  <si>
    <t>Audit Date*</t>
  </si>
  <si>
    <t>Original Answer</t>
  </si>
  <si>
    <t>Corrective actions*</t>
  </si>
  <si>
    <t>Closed? (x)*</t>
  </si>
  <si>
    <t>Status</t>
  </si>
  <si>
    <t>Closed by*</t>
  </si>
  <si>
    <t>Closed on*</t>
  </si>
  <si>
    <t>Comments*</t>
  </si>
  <si>
    <t>Summary</t>
  </si>
  <si>
    <t>Original calculation after the end of Audit</t>
  </si>
  <si>
    <t>Type</t>
  </si>
  <si>
    <t>Total Amount Checklist</t>
  </si>
  <si>
    <t>Not answered</t>
  </si>
  <si>
    <t>NC Closed</t>
  </si>
  <si>
    <t>% Compliance</t>
  </si>
  <si>
    <t>Major</t>
  </si>
  <si>
    <t>Minor</t>
  </si>
  <si>
    <t>Revised calculation after Non-Compliance points are closed</t>
  </si>
  <si>
    <t xml:space="preserve">LIST OF CRITERIA RELATED TO WORKERS SAFETY, WORKERS HEALTH AND WORKERS WELLBEING in IFA FO Smart  </t>
  </si>
  <si>
    <t xml:space="preserve">LIST OF CRITERIA RELATED TO WORKERS SAFETY, WORKERS HEALTH AND WORKERS WELLBEING in IFA AQ GFS/SMART </t>
  </si>
  <si>
    <t xml:space="preserve">LIST OF CRITERIA RELATED TO WORKERS SAFETY, WORKERS HEALTH 
AND WORKERS WELLBEING in IFA v6 FV  Smart and GFS </t>
  </si>
  <si>
    <t>Principle Number </t>
  </si>
  <si>
    <t>Topic </t>
  </si>
  <si>
    <t>Level </t>
  </si>
  <si>
    <t>FO 01.04.01 </t>
  </si>
  <si>
    <t>Records training kept </t>
  </si>
  <si>
    <t>minor  </t>
  </si>
  <si>
    <t>AQ 04.03.01 </t>
  </si>
  <si>
    <t>Accident procedure </t>
  </si>
  <si>
    <t>minor </t>
  </si>
  <si>
    <t>FV-SMART &amp; GFS  03.01 </t>
  </si>
  <si>
    <t>Role WHS representative </t>
  </si>
  <si>
    <t>minor (Major in GFS) </t>
  </si>
  <si>
    <t>FO 07.09.01 </t>
  </si>
  <si>
    <t>Equipment fit for use </t>
  </si>
  <si>
    <t>AQ 04.03.03 </t>
  </si>
  <si>
    <t>Safety Advice to workers </t>
  </si>
  <si>
    <t>FV-SMART &amp; GFS  20.02.02 </t>
  </si>
  <si>
    <t>FO 13.06 </t>
  </si>
  <si>
    <t>Toilets and washing facilities </t>
  </si>
  <si>
    <t>AQ 04.03.04 </t>
  </si>
  <si>
    <t>First aid kits available </t>
  </si>
  <si>
    <t>FV-SMART &amp; GFS  20.02.03 </t>
  </si>
  <si>
    <t>FO 12.01.02 </t>
  </si>
  <si>
    <t>WHS procedures </t>
  </si>
  <si>
    <t>AQ 04.03.05 </t>
  </si>
  <si>
    <t>Person trained First Aid </t>
  </si>
  <si>
    <t>FV-SMART &amp; GFS  20.02.04 </t>
  </si>
  <si>
    <t>FO 12.01.03 </t>
  </si>
  <si>
    <t>Training WHS </t>
  </si>
  <si>
    <t>AQ 04.05.04 </t>
  </si>
  <si>
    <t>Transportation safe </t>
  </si>
  <si>
    <t>FV-SMART &amp; GFS  20.03.03 </t>
  </si>
  <si>
    <t>Equipment used by workers </t>
  </si>
  <si>
    <t>FO 12.02.01 </t>
  </si>
  <si>
    <t>AQ 19.03.01 </t>
  </si>
  <si>
    <t>PPP transported safely </t>
  </si>
  <si>
    <t>FV-SMART &amp; GFS  20.03.04 </t>
  </si>
  <si>
    <t>Changing facilities available </t>
  </si>
  <si>
    <t>FO 12.02.02 </t>
  </si>
  <si>
    <t>FV-SMART &amp; GFS  20.04.01 </t>
  </si>
  <si>
    <t>Comm WHS worker/management </t>
  </si>
  <si>
    <t>FO 12.02.03 </t>
  </si>
  <si>
    <t>FV-SMART &amp; GFS  20.04.04 </t>
  </si>
  <si>
    <t>FO 12.03.03 </t>
  </si>
  <si>
    <t>FV-SMART &amp; GFS  25.06 </t>
  </si>
  <si>
    <t>Water correctly disposed </t>
  </si>
  <si>
    <t>FO 12.03.04 </t>
  </si>
  <si>
    <t>FV-SMART &amp; GFS  29.01.06 </t>
  </si>
  <si>
    <t>Name applicators </t>
  </si>
  <si>
    <t>FO 12.03.05 </t>
  </si>
  <si>
    <t>FV-SMART &amp; GFS  32.04.03 </t>
  </si>
  <si>
    <t>Containers kept safely </t>
  </si>
  <si>
    <t>FO 13.05 </t>
  </si>
  <si>
    <t>FV-SMART &amp; GFS  32.04.04 </t>
  </si>
  <si>
    <t>Containers disposed correctly </t>
  </si>
  <si>
    <t>FO 09.06 </t>
  </si>
  <si>
    <t>FV-SMART &amp; GFS  32.09.02 </t>
  </si>
  <si>
    <t>PPP storage is safe </t>
  </si>
  <si>
    <t>FO 04.06.01 </t>
  </si>
  <si>
    <t>FV-SMART &amp; GFS  32.09.03 </t>
  </si>
  <si>
    <t>PPS storage does not pose risk </t>
  </si>
  <si>
    <t>FO 07.06.02 </t>
  </si>
  <si>
    <t>Containers reused </t>
  </si>
  <si>
    <t>FV-SMART &amp; GFS  32.09.05 </t>
  </si>
  <si>
    <t>Storage has light </t>
  </si>
  <si>
    <t>FO 07.06.03 </t>
  </si>
  <si>
    <t>FV-SMART &amp; GFS  32.10.01 </t>
  </si>
  <si>
    <t>Access to health checks </t>
  </si>
  <si>
    <t>FO 07.06.04 </t>
  </si>
  <si>
    <t>FV-SMART &amp; GFS  32.10.03 </t>
  </si>
  <si>
    <t>FO 07.04.02 </t>
  </si>
  <si>
    <t>FV-SMART &amp; GFS  32.10.04 </t>
  </si>
  <si>
    <t>Facilities deal with accidents </t>
  </si>
  <si>
    <t>FO 07.04.03 </t>
  </si>
  <si>
    <t>FV-SMART &amp; GFS  32.10.05 </t>
  </si>
  <si>
    <t>FO 07.04.06 </t>
  </si>
  <si>
    <t>FO 07.04.07 </t>
  </si>
  <si>
    <t>FO 07.05.02 </t>
  </si>
  <si>
    <t xml:space="preserve">Confirmation that a map is available and that it clearly identifies all sites. 
If physical signs are in place, this shall be recorded. </t>
  </si>
  <si>
    <t xml:space="preserve">Identification of the site and the period where all history of activities were revised. </t>
  </si>
  <si>
    <t xml:space="preserve">A documented risk assessment is available with a  list   A list of all activities potentially affecting the aquaculture farm:
potential physical, chemical (including allergens), and biological hazards. 
Document identification 
name:
code:
revision: 
date:
</t>
  </si>
  <si>
    <t xml:space="preserve">A management pla address the risks identified in AQ 01.02.01. 
Document identification 
name:
code:
revision: 
date:
</t>
  </si>
  <si>
    <t>Document identification 
name/type of licence: 
code:
revision: 
date:
institution that issue the license:
Date of validity of the license/permit.</t>
  </si>
  <si>
    <r>
      <t xml:space="preserve">all records verified show as a minimum three months of recording.  Example:
</t>
    </r>
    <r>
      <rPr>
        <sz val="11"/>
        <color rgb="FFFF0000"/>
        <rFont val="Calibri"/>
        <family val="2"/>
        <scheme val="minor"/>
      </rPr>
      <t>XXXXXXXXXXX</t>
    </r>
    <r>
      <rPr>
        <sz val="11"/>
        <color indexed="8"/>
        <rFont val="Calibri"/>
        <family val="2"/>
        <scheme val="minor"/>
      </rPr>
      <t xml:space="preserve">
For consecutive audits, report: "Consecutive audit."</t>
    </r>
  </si>
  <si>
    <t>Document identification 
name:
code:
revision: 
date:</t>
  </si>
  <si>
    <t xml:space="preserve">Geographical coordinates of all sites: </t>
  </si>
  <si>
    <r>
      <t xml:space="preserve">examples of records verified:
</t>
    </r>
    <r>
      <rPr>
        <sz val="11"/>
        <color rgb="FFFF0000"/>
        <rFont val="Calibri"/>
        <family val="2"/>
        <scheme val="minor"/>
      </rPr>
      <t xml:space="preserve">-XXXXXXX
-XXXXXXX
-XXXXXXX
</t>
    </r>
    <r>
      <rPr>
        <sz val="11"/>
        <color indexed="8"/>
        <rFont val="Calibri"/>
        <family val="2"/>
        <scheme val="minor"/>
      </rPr>
      <t xml:space="preserve">Describe where the records are kept/stored.
</t>
    </r>
  </si>
  <si>
    <r>
      <t xml:space="preserve">Date of self-assessment or internal farm audit: </t>
    </r>
    <r>
      <rPr>
        <sz val="11"/>
        <color rgb="FFFF0000"/>
        <rFont val="Calibri"/>
        <family val="2"/>
        <scheme val="minor"/>
      </rPr>
      <t>XXX</t>
    </r>
    <r>
      <rPr>
        <sz val="11"/>
        <color indexed="8"/>
        <rFont val="Calibri"/>
        <family val="2"/>
        <scheme val="minor"/>
      </rPr>
      <t xml:space="preserve">
Initials/abbreviation of person performing the internal audit:</t>
    </r>
    <r>
      <rPr>
        <sz val="11"/>
        <color rgb="FFFF0000"/>
        <rFont val="Calibri"/>
        <family val="2"/>
        <scheme val="minor"/>
      </rPr>
      <t>XXX</t>
    </r>
    <r>
      <rPr>
        <sz val="11"/>
        <color indexed="8"/>
        <rFont val="Calibri"/>
        <family val="2"/>
        <scheme val="minor"/>
      </rPr>
      <t xml:space="preserve">
</t>
    </r>
  </si>
  <si>
    <t xml:space="preserve">
Number of non-compliances detected:
Number of non-compliances still open:</t>
  </si>
  <si>
    <r>
      <t xml:space="preserve">Continuous improvement plan </t>
    </r>
    <r>
      <rPr>
        <sz val="11"/>
        <rFont val="Calibri"/>
        <family val="2"/>
        <scheme val="minor"/>
      </rPr>
      <t xml:space="preserve">XX Dated YYYY/MM/DD 
 Example of self-defined target </t>
    </r>
    <r>
      <rPr>
        <sz val="11"/>
        <color rgb="FFFF0000"/>
        <rFont val="Calibri"/>
        <family val="2"/>
        <scheme val="minor"/>
      </rPr>
      <t xml:space="preserve">XXXXXX </t>
    </r>
    <r>
      <rPr>
        <sz val="11"/>
        <color indexed="8"/>
        <rFont val="Calibri"/>
        <family val="2"/>
        <scheme val="minor"/>
      </rPr>
      <t>- DATE OF ACHIEVEMENT  PREVIEWED :</t>
    </r>
    <r>
      <rPr>
        <sz val="11"/>
        <color rgb="FFFF0000"/>
        <rFont val="Calibri"/>
        <family val="2"/>
        <scheme val="minor"/>
      </rPr>
      <t xml:space="preserve"> XXX - </t>
    </r>
  </si>
  <si>
    <t xml:space="preserve">Document identification 
name:
code:
revision: 
date:
production stages covered:
All  production stages covered in the hygiene risk assessment are equivalent to those covered in the certificate, either performed by the producer or subcontracted.
Detail/List all different production, harvest, and postharvest processes seen. 
</t>
  </si>
  <si>
    <t>Document XXXXXX, dated DD/MM/YY. Example of health and safety risk: XXXXX</t>
  </si>
  <si>
    <t>Visual inspection shows hygiene procedures implemented.
Describe where the hygiene instructions are displayed.</t>
  </si>
  <si>
    <r>
      <t xml:space="preserve">Document identification 
name:
code:
revision: 
date:
Example of a health and safety risk.
</t>
    </r>
    <r>
      <rPr>
        <sz val="11"/>
        <color rgb="FFFF0000"/>
        <rFont val="Calibri"/>
        <family val="2"/>
        <scheme val="minor"/>
      </rPr>
      <t>-XXXX
_XXXX
-XXXXX</t>
    </r>
  </si>
  <si>
    <t xml:space="preserve">PROCEDURE XX Dated YYYY/MM/DD </t>
  </si>
  <si>
    <t xml:space="preserve">Document identification of example of a diving project (name/code, date/edition, etc.):
</t>
  </si>
  <si>
    <t>The farm has a total of XXX toilets, including both stationary and mobile units// only mobile units/// only stationary units. These toilets are distributed across various locations, including XXXXXX</t>
  </si>
  <si>
    <r>
      <t xml:space="preserve">Sewage waste collection and disposal procedure(s), including those made by subcontractors in  
</t>
    </r>
    <r>
      <rPr>
        <sz val="11"/>
        <color rgb="FFFF0000"/>
        <rFont val="Calibri"/>
        <family val="2"/>
        <scheme val="minor"/>
      </rPr>
      <t xml:space="preserve">name, date, rev </t>
    </r>
  </si>
  <si>
    <r>
      <t xml:space="preserve">Identification of vessel(s) inspected including valid licenses including personal license to operate and vessel license (no personal data to be included): 
</t>
    </r>
    <r>
      <rPr>
        <sz val="11"/>
        <color rgb="FFFF0000"/>
        <rFont val="Calibri"/>
        <family val="2"/>
        <scheme val="minor"/>
      </rPr>
      <t xml:space="preserve">Vessel name
Licence n.
Validity.
Etc...
</t>
    </r>
    <r>
      <rPr>
        <sz val="11"/>
        <color indexed="8"/>
        <rFont val="Calibri"/>
        <family val="2"/>
        <scheme val="minor"/>
      </rPr>
      <t xml:space="preserve">
</t>
    </r>
  </si>
  <si>
    <t>Topic of training: XXXXX
 Number of Workers: XXX; 
Traning  Date:  DD/MM/YY -  
Initials of the name of Trainer(s): XXXXX</t>
  </si>
  <si>
    <t xml:space="preserve">
Document identification 
name:
code:
revision: 
date:
of the internal description of animal health and welfare indicators:
Topic of training:
Number of workers:
Training date:</t>
  </si>
  <si>
    <r>
      <t xml:space="preserve"> first aid kit checked located  in</t>
    </r>
    <r>
      <rPr>
        <sz val="11"/>
        <color rgb="FFFF0000"/>
        <rFont val="Calibri"/>
        <family val="2"/>
        <scheme val="minor"/>
      </rPr>
      <t xml:space="preserve"> XXXXXX</t>
    </r>
  </si>
  <si>
    <r>
      <t xml:space="preserve">PPE are available and suitable.
Example of PPE used and the activity:
</t>
    </r>
    <r>
      <rPr>
        <sz val="11"/>
        <color rgb="FFFF0000"/>
        <rFont val="Calibri"/>
        <family val="2"/>
        <scheme val="minor"/>
      </rPr>
      <t>-XXXXX for XXXXXX
-XXXXX for XXXXXXX</t>
    </r>
  </si>
  <si>
    <t>Position of responsible for workers' health, safety and welfare.</t>
  </si>
  <si>
    <r>
      <t xml:space="preserve">Identification of the record of the last meeting 
name/code: </t>
    </r>
    <r>
      <rPr>
        <sz val="11"/>
        <color rgb="FFFF0000"/>
        <rFont val="Calibri"/>
        <family val="2"/>
        <scheme val="minor"/>
      </rPr>
      <t>XXX</t>
    </r>
    <r>
      <rPr>
        <sz val="11"/>
        <color indexed="8"/>
        <rFont val="Calibri"/>
        <family val="2"/>
        <scheme val="minor"/>
      </rPr>
      <t xml:space="preserve">
date/edition: </t>
    </r>
    <r>
      <rPr>
        <sz val="11"/>
        <color rgb="FFFF0000"/>
        <rFont val="Calibri"/>
        <family val="2"/>
        <scheme val="minor"/>
      </rPr>
      <t>XXX</t>
    </r>
    <r>
      <rPr>
        <sz val="11"/>
        <color indexed="8"/>
        <rFont val="Calibri"/>
        <family val="2"/>
        <scheme val="minor"/>
      </rPr>
      <t xml:space="preserve">
</t>
    </r>
  </si>
  <si>
    <t>If applicable, list the number of workers/families living on the farm.</t>
  </si>
  <si>
    <t xml:space="preserve">Date(s) of GRASP assessment: 
Date of Letter of conformance: 
</t>
  </si>
  <si>
    <t xml:space="preserve">Examples of subcontracted activities checked:
Specific standard criteria related to the subcontracted: 
Identify which of the three situations applies (1, 2 or 3):
</t>
  </si>
  <si>
    <t xml:space="preserve">
Document identification 
name:
code:
revision: 
date:
</t>
  </si>
  <si>
    <t xml:space="preserve">
Document identification 
name:
code:
revision: 
date:</t>
  </si>
  <si>
    <r>
      <t xml:space="preserve">
Document identification 
name:
code:
revision: 
date:
Parameters mentioned in the criteria are:
</t>
    </r>
    <r>
      <rPr>
        <sz val="11"/>
        <color rgb="FFFF0000"/>
        <rFont val="Calibri"/>
        <family val="2"/>
        <scheme val="minor"/>
      </rPr>
      <t xml:space="preserve">-XXXX
-XXXX
-XXXX
</t>
    </r>
    <r>
      <rPr>
        <sz val="11"/>
        <color indexed="8"/>
        <rFont val="Calibri"/>
        <family val="2"/>
        <scheme val="minor"/>
      </rPr>
      <t xml:space="preserve"> that are monitored with respective frequence and place of sampling.</t>
    </r>
  </si>
  <si>
    <t>Document identification 
name:
code:
revision: 
date:
If exists, describe the analysis results showing that there is no significant negative impact on the biodiversity of the benthic fauna and/or recipient water body sediment/water column.</t>
  </si>
  <si>
    <t>Document identification 
name:
code:
revision: 
date:
Record specific restrictions checked and complied with:</t>
  </si>
  <si>
    <t>Sampling plan and results for inlet water
Document identification 
name:
code:
revision: 
date:
Sampling plan and results for outlet water based on the EIA (AQ 06.03.01)
Document identification 
name:
code:
revision: 
date:</t>
  </si>
  <si>
    <t xml:space="preserve">Description of water storage system.
Records of cleaning and maintenance. </t>
  </si>
  <si>
    <t xml:space="preserve">Verification to be done together with AQ 06.04.03. </t>
  </si>
  <si>
    <r>
      <t>Document identification of escapes in the previous certification cycle
name:
code:
revision: 
date:  
If escapes took place, evidence that this has been reported to the authorities
Ref.</t>
    </r>
    <r>
      <rPr>
        <sz val="11"/>
        <color rgb="FFFF0000"/>
        <rFont val="Calibri"/>
        <family val="2"/>
        <scheme val="minor"/>
      </rPr>
      <t xml:space="preserve"> XXXX</t>
    </r>
  </si>
  <si>
    <r>
      <t>Evidence that the farm site or related facilities are not within a PA:
-</t>
    </r>
    <r>
      <rPr>
        <sz val="11"/>
        <color rgb="FFFF0000"/>
        <rFont val="Calibri"/>
        <family val="2"/>
        <scheme val="minor"/>
      </rPr>
      <t>XXXX</t>
    </r>
    <r>
      <rPr>
        <sz val="11"/>
        <color indexed="8"/>
        <rFont val="Calibri"/>
        <family val="2"/>
        <scheme val="minor"/>
      </rPr>
      <t xml:space="preserve">
Confirm the geo-coordinates and the date of the last verification (date: </t>
    </r>
    <r>
      <rPr>
        <sz val="11"/>
        <color rgb="FFFF0000"/>
        <rFont val="Calibri"/>
        <family val="2"/>
        <scheme val="minor"/>
      </rPr>
      <t>XXXX</t>
    </r>
    <r>
      <rPr>
        <sz val="11"/>
        <color indexed="8"/>
        <rFont val="Calibri"/>
        <family val="2"/>
        <scheme val="minor"/>
      </rPr>
      <t>)</t>
    </r>
  </si>
  <si>
    <r>
      <t xml:space="preserve">Document identification 
name:
code:
revision: 
date:
Date of the farm site establishment </t>
    </r>
    <r>
      <rPr>
        <sz val="11"/>
        <color rgb="FFFF0000"/>
        <rFont val="Calibri"/>
        <family val="2"/>
        <scheme val="minor"/>
      </rPr>
      <t>XXXX</t>
    </r>
    <r>
      <rPr>
        <sz val="11"/>
        <color indexed="8"/>
        <rFont val="Calibri"/>
        <family val="2"/>
        <scheme val="minor"/>
      </rPr>
      <t xml:space="preserve">, the prior land use/status was: </t>
    </r>
    <r>
      <rPr>
        <sz val="11"/>
        <color rgb="FFFF0000"/>
        <rFont val="Calibri"/>
        <family val="2"/>
        <scheme val="minor"/>
      </rPr>
      <t>XXXX</t>
    </r>
    <r>
      <rPr>
        <sz val="11"/>
        <color indexed="8"/>
        <rFont val="Calibri"/>
        <family val="2"/>
        <scheme val="minor"/>
      </rPr>
      <t xml:space="preserve">, habitat types </t>
    </r>
    <r>
      <rPr>
        <sz val="11"/>
        <color rgb="FFFF0000"/>
        <rFont val="Calibri"/>
        <family val="2"/>
        <scheme val="minor"/>
      </rPr>
      <t>XXXX,</t>
    </r>
    <r>
      <rPr>
        <sz val="11"/>
        <color indexed="8"/>
        <rFont val="Calibri"/>
        <family val="2"/>
        <scheme val="minor"/>
      </rPr>
      <t xml:space="preserve"> and the source of information is</t>
    </r>
    <r>
      <rPr>
        <sz val="11"/>
        <color rgb="FFFF0000"/>
        <rFont val="Calibri"/>
        <family val="2"/>
        <scheme val="minor"/>
      </rPr>
      <t xml:space="preserve"> XXXX</t>
    </r>
    <r>
      <rPr>
        <sz val="11"/>
        <color indexed="8"/>
        <rFont val="Calibri"/>
        <family val="2"/>
        <scheme val="minor"/>
      </rPr>
      <t>.</t>
    </r>
  </si>
  <si>
    <r>
      <t xml:space="preserve">Document identification 
name:
code:
revision: 
date:
Date of the farm site establishment </t>
    </r>
    <r>
      <rPr>
        <sz val="11"/>
        <color rgb="FFFF0000"/>
        <rFont val="Calibri"/>
        <family val="2"/>
        <scheme val="minor"/>
      </rPr>
      <t>XXXX</t>
    </r>
    <r>
      <rPr>
        <sz val="11"/>
        <color indexed="8"/>
        <rFont val="Calibri"/>
        <family val="2"/>
        <scheme val="minor"/>
      </rPr>
      <t>.
 If apply, describe the rehabilitation plan (objective, time frame, means, activities, expected output, financing and compensation provisions in agreement with local communities).</t>
    </r>
  </si>
  <si>
    <t>Document identification 
name:
code:
revision: 
date:
date of the official permit:</t>
  </si>
  <si>
    <r>
      <t>Recall and withdrawal procedure
name:
code:
revision: 
date:
Date of mock recall test:</t>
    </r>
    <r>
      <rPr>
        <sz val="11"/>
        <color rgb="FFFF0000"/>
        <rFont val="Calibri"/>
        <family val="2"/>
        <scheme val="minor"/>
      </rPr>
      <t>XXX</t>
    </r>
    <r>
      <rPr>
        <sz val="11"/>
        <color indexed="8"/>
        <rFont val="Calibri"/>
        <family val="2"/>
        <scheme val="minor"/>
      </rPr>
      <t xml:space="preserve">
Name of product </t>
    </r>
    <r>
      <rPr>
        <sz val="11"/>
        <color rgb="FFFF0000"/>
        <rFont val="Calibri"/>
        <family val="2"/>
        <scheme val="minor"/>
      </rPr>
      <t>XXX</t>
    </r>
    <r>
      <rPr>
        <sz val="11"/>
        <color indexed="8"/>
        <rFont val="Calibri"/>
        <family val="2"/>
        <scheme val="minor"/>
      </rPr>
      <t xml:space="preserve"> and batch </t>
    </r>
    <r>
      <rPr>
        <sz val="11"/>
        <color rgb="FFFF0000"/>
        <rFont val="Calibri"/>
        <family val="2"/>
        <scheme val="minor"/>
      </rPr>
      <t>XXX</t>
    </r>
    <r>
      <rPr>
        <sz val="11"/>
        <color indexed="8"/>
        <rFont val="Calibri"/>
        <family val="2"/>
        <scheme val="minor"/>
      </rPr>
      <t xml:space="preserve"> date involved in the mock recall test:</t>
    </r>
    <r>
      <rPr>
        <sz val="11"/>
        <color rgb="FFFF0000"/>
        <rFont val="Calibri"/>
        <family val="2"/>
        <scheme val="minor"/>
      </rPr>
      <t xml:space="preserve"> XXX</t>
    </r>
    <r>
      <rPr>
        <sz val="11"/>
        <color indexed="8"/>
        <rFont val="Calibri"/>
        <family val="2"/>
        <scheme val="minor"/>
      </rPr>
      <t xml:space="preserve">
Documented procedures are in place to effectively manage the withdrawal of registered products.</t>
    </r>
  </si>
  <si>
    <t>FOOD DEFENSE Plan: XXX dated_ XX rev_XXX</t>
  </si>
  <si>
    <t xml:space="preserve">Indicate the GLOBALG.A.P. certification status and GGN used, how it is used, the type of transaction record checked, the reference number, and the date.
In the case of an initial audit, write: “N/A. Initial audit.” </t>
  </si>
  <si>
    <t>Record where the GLOBALG.A.P. trademarks/logos are used by the producer.</t>
  </si>
  <si>
    <r>
      <t>All product is originating from certified production process.///// -</t>
    </r>
    <r>
      <rPr>
        <sz val="11"/>
        <color theme="9" tint="-0.249977111117893"/>
        <rFont val="Calibri"/>
        <family val="2"/>
        <scheme val="minor"/>
      </rPr>
      <t xml:space="preserve"> On-site verification has been conducted for Segregation and Product Identification for</t>
    </r>
    <r>
      <rPr>
        <sz val="11"/>
        <color indexed="8"/>
        <rFont val="Calibri"/>
        <family val="2"/>
        <scheme val="minor"/>
      </rPr>
      <t xml:space="preserve"> </t>
    </r>
    <r>
      <rPr>
        <sz val="11"/>
        <color rgb="FFFF0000"/>
        <rFont val="Calibri"/>
        <family val="2"/>
        <scheme val="minor"/>
      </rPr>
      <t>the Product XXXXX, with Lot/Batch Number XXXXX</t>
    </r>
    <r>
      <rPr>
        <sz val="11"/>
        <color indexed="8"/>
        <rFont val="Calibri"/>
        <family val="2"/>
        <scheme val="minor"/>
      </rPr>
      <t>, throughout operational activities and in accordance with the product flow</t>
    </r>
  </si>
  <si>
    <r>
      <t xml:space="preserve">All product is originating from certified production process. ////// -- </t>
    </r>
    <r>
      <rPr>
        <sz val="11"/>
        <color theme="9" tint="-0.249977111117893"/>
        <rFont val="Calibri"/>
        <family val="2"/>
        <scheme val="minor"/>
      </rPr>
      <t xml:space="preserve">Not All All product is originating form certified production process.On the site,  a sample of final product of XXXXXX </t>
    </r>
    <r>
      <rPr>
        <sz val="11"/>
        <color rgb="FFFF0000"/>
        <rFont val="Calibri"/>
        <family val="2"/>
        <scheme val="minor"/>
      </rPr>
      <t>labeled with a GGN XXXXXX  ; LOT/Batch : XXXXX</t>
    </r>
    <r>
      <rPr>
        <sz val="11"/>
        <color indexed="8"/>
        <rFont val="Calibri"/>
        <family val="2"/>
        <scheme val="minor"/>
      </rPr>
      <t xml:space="preserve">  has been carefully selected and trace it back to its origin to confirm the certification status.
If Option 2 (producer group member/certificate holder/both), GGN used for identification:</t>
    </r>
  </si>
  <si>
    <r>
      <t>All product is originating from certified production process. ///</t>
    </r>
    <r>
      <rPr>
        <sz val="11"/>
        <color theme="9" tint="-0.249977111117893"/>
        <rFont val="Calibri"/>
        <family val="2"/>
        <scheme val="minor"/>
      </rPr>
      <t>Not All All product is originating form certified production process.  Check records</t>
    </r>
    <r>
      <rPr>
        <sz val="11"/>
        <color rgb="FFFF0000"/>
        <rFont val="Calibri"/>
        <family val="2"/>
        <scheme val="minor"/>
      </rPr>
      <t xml:space="preserve"> XXX</t>
    </r>
    <r>
      <rPr>
        <sz val="11"/>
        <color theme="9" tint="-0.249977111117893"/>
        <rFont val="Calibri"/>
        <family val="2"/>
        <scheme val="minor"/>
      </rPr>
      <t xml:space="preserve">.  and/or Interview person responsible for final check name: </t>
    </r>
    <r>
      <rPr>
        <sz val="11"/>
        <color rgb="FFFF0000"/>
        <rFont val="Calibri"/>
        <family val="2"/>
        <scheme val="minor"/>
      </rPr>
      <t>XXXXX</t>
    </r>
  </si>
  <si>
    <r>
      <t>All product is originating form certified production process. ///</t>
    </r>
    <r>
      <rPr>
        <sz val="11"/>
        <color theme="9" tint="-0.249977111117893"/>
        <rFont val="Calibri"/>
        <family val="2"/>
        <scheme val="minor"/>
      </rPr>
      <t xml:space="preserve"> Not All All product is originating form certified production process. It is take undercontrol by the Procedure </t>
    </r>
    <r>
      <rPr>
        <sz val="11"/>
        <color rgb="FFFF0000"/>
        <rFont val="Calibri"/>
        <family val="2"/>
        <scheme val="minor"/>
      </rPr>
      <t>XXX</t>
    </r>
    <r>
      <rPr>
        <sz val="11"/>
        <color theme="9" tint="-0.249977111117893"/>
        <rFont val="Calibri"/>
        <family val="2"/>
        <scheme val="minor"/>
      </rPr>
      <t xml:space="preserve"> dated </t>
    </r>
    <r>
      <rPr>
        <sz val="11"/>
        <color rgb="FFFF0000"/>
        <rFont val="Calibri"/>
        <family val="2"/>
        <scheme val="minor"/>
      </rPr>
      <t>DD/MM/YY</t>
    </r>
    <r>
      <rPr>
        <sz val="11"/>
        <color theme="9" tint="-0.249977111117893"/>
        <rFont val="Calibri"/>
        <family val="2"/>
        <scheme val="minor"/>
      </rPr>
      <t>.Conducted a visual inspection to ensure that all incoming and stored products are appropriately identified, in accordance with the established procedure</t>
    </r>
    <r>
      <rPr>
        <sz val="11"/>
        <color indexed="8"/>
        <rFont val="Calibri"/>
        <family val="2"/>
        <scheme val="minor"/>
      </rPr>
      <t xml:space="preserve">
Name of purchased product:</t>
    </r>
    <r>
      <rPr>
        <sz val="11"/>
        <color rgb="FFFF0000"/>
        <rFont val="Calibri"/>
        <family val="2"/>
        <scheme val="minor"/>
      </rPr>
      <t>XXX</t>
    </r>
    <r>
      <rPr>
        <sz val="11"/>
        <color indexed="8"/>
        <rFont val="Calibri"/>
        <family val="2"/>
        <scheme val="minor"/>
      </rPr>
      <t xml:space="preserve">
batch:</t>
    </r>
    <r>
      <rPr>
        <sz val="11"/>
        <color rgb="FFFF0000"/>
        <rFont val="Calibri"/>
        <family val="2"/>
        <scheme val="minor"/>
      </rPr>
      <t>XXX</t>
    </r>
    <r>
      <rPr>
        <sz val="11"/>
        <color indexed="8"/>
        <rFont val="Calibri"/>
        <family val="2"/>
        <scheme val="minor"/>
      </rPr>
      <t xml:space="preserve">
date checked:</t>
    </r>
    <r>
      <rPr>
        <sz val="11"/>
        <color rgb="FFFF0000"/>
        <rFont val="Calibri"/>
        <family val="2"/>
        <scheme val="minor"/>
      </rPr>
      <t>XXX</t>
    </r>
    <r>
      <rPr>
        <sz val="11"/>
        <color indexed="8"/>
        <rFont val="Calibri"/>
        <family val="2"/>
        <scheme val="minor"/>
      </rPr>
      <t xml:space="preserve">
GLOBALG.A.P. certification status: </t>
    </r>
    <r>
      <rPr>
        <sz val="11"/>
        <color rgb="FFFF0000"/>
        <rFont val="Calibri"/>
        <family val="2"/>
        <scheme val="minor"/>
      </rPr>
      <t>XXX</t>
    </r>
    <r>
      <rPr>
        <sz val="11"/>
        <color indexed="8"/>
        <rFont val="Calibri"/>
        <family val="2"/>
        <scheme val="minor"/>
      </rPr>
      <t xml:space="preserve">
Quantities of product(s) purchased:</t>
    </r>
    <r>
      <rPr>
        <sz val="11"/>
        <color rgb="FFFF0000"/>
        <rFont val="Calibri"/>
        <family val="2"/>
        <scheme val="minor"/>
      </rPr>
      <t>XXX</t>
    </r>
    <r>
      <rPr>
        <sz val="11"/>
        <color indexed="8"/>
        <rFont val="Calibri"/>
        <family val="2"/>
        <scheme val="minor"/>
      </rPr>
      <t xml:space="preserve">
Supplier details:</t>
    </r>
    <r>
      <rPr>
        <sz val="11"/>
        <color rgb="FFFF0000"/>
        <rFont val="Calibri"/>
        <family val="2"/>
        <scheme val="minor"/>
      </rPr>
      <t>XXX</t>
    </r>
    <r>
      <rPr>
        <sz val="11"/>
        <color indexed="8"/>
        <rFont val="Calibri"/>
        <family val="2"/>
        <scheme val="minor"/>
      </rPr>
      <t xml:space="preserve">
Copy of the GLOBALG.A.P. certificates:</t>
    </r>
    <r>
      <rPr>
        <sz val="11"/>
        <color rgb="FFFF0000"/>
        <rFont val="Calibri"/>
        <family val="2"/>
        <scheme val="minor"/>
      </rPr>
      <t>XXX</t>
    </r>
    <r>
      <rPr>
        <sz val="11"/>
        <color indexed="8"/>
        <rFont val="Calibri"/>
        <family val="2"/>
        <scheme val="minor"/>
      </rPr>
      <t xml:space="preserve">
Traceability data/codes related to the purchased products:</t>
    </r>
    <r>
      <rPr>
        <sz val="11"/>
        <color rgb="FFFF0000"/>
        <rFont val="Calibri"/>
        <family val="2"/>
        <scheme val="minor"/>
      </rPr>
      <t>XXX</t>
    </r>
    <r>
      <rPr>
        <sz val="11"/>
        <color indexed="8"/>
        <rFont val="Calibri"/>
        <family val="2"/>
        <scheme val="minor"/>
      </rPr>
      <t xml:space="preserve">
Purchase orders and/or invoices received:
List of approved suppliers: </t>
    </r>
    <r>
      <rPr>
        <sz val="11"/>
        <color rgb="FFFF0000"/>
        <rFont val="Calibri"/>
        <family val="2"/>
        <scheme val="minor"/>
      </rPr>
      <t>XXX</t>
    </r>
  </si>
  <si>
    <r>
      <t>Document identification 
name:
code:
revision: 
date:
Name of purchased product:</t>
    </r>
    <r>
      <rPr>
        <sz val="11"/>
        <color rgb="FFFF0000"/>
        <rFont val="Calibri"/>
        <family val="2"/>
        <scheme val="minor"/>
      </rPr>
      <t>XXX</t>
    </r>
    <r>
      <rPr>
        <sz val="11"/>
        <color indexed="8"/>
        <rFont val="Calibri"/>
        <family val="2"/>
        <scheme val="minor"/>
      </rPr>
      <t xml:space="preserve">
batch:</t>
    </r>
    <r>
      <rPr>
        <sz val="11"/>
        <color rgb="FFFF0000"/>
        <rFont val="Calibri"/>
        <family val="2"/>
        <scheme val="minor"/>
      </rPr>
      <t>XXX</t>
    </r>
    <r>
      <rPr>
        <sz val="11"/>
        <color indexed="8"/>
        <rFont val="Calibri"/>
        <family val="2"/>
        <scheme val="minor"/>
      </rPr>
      <t xml:space="preserve">
date checked:</t>
    </r>
    <r>
      <rPr>
        <sz val="11"/>
        <color rgb="FFFF0000"/>
        <rFont val="Calibri"/>
        <family val="2"/>
        <scheme val="minor"/>
      </rPr>
      <t xml:space="preserve">XXX
</t>
    </r>
  </si>
  <si>
    <t xml:space="preserve">Record one example each for all  registered products.
Name of product, batch/date checked
Product  Name #1: XXXX - Sales Record - Batch/DT Number XXXX - 
Product #2: XXXX - Sales Record - Batch/DT Number XXXX - Product #3: XXXX - Sales Record -Batch/ DT Number XXXX - .
</t>
  </si>
  <si>
    <r>
      <t xml:space="preserve">Name of product (the mass balance exercise verified is per species specific): 
</t>
    </r>
    <r>
      <rPr>
        <sz val="8"/>
        <rFont val="Arial"/>
        <family val="2"/>
      </rPr>
      <t>Record for at least one product, prioritizing main products and/or products under parallel ownership.</t>
    </r>
    <r>
      <rPr>
        <sz val="8"/>
        <color rgb="FFFF0000"/>
        <rFont val="Arial"/>
        <family val="2"/>
      </rPr>
      <t xml:space="preserve">
</t>
    </r>
    <r>
      <rPr>
        <sz val="8"/>
        <color theme="1"/>
        <rFont val="Arial"/>
        <family val="2"/>
      </rPr>
      <t xml:space="preserve">
Frequency of the mass balance calculation: XXXX.
Name of product #1 : XXXX;  - [product originating from certified production process] Quantity input: xxxxx; Quantity output: xxxx, unexplained loss: xxxxx; escape:xxxx, mortality:xxxxx, culling: xxxx, storage of product originating from certified production process; error deltax:xxxx; reson for the delta:xxxx
(if applcable) product originating from NONcertified production process]:  Quantity input: xxxxx; Quantity output: xxxx, unexplained loss: xxxxx; escape:xxxx, mortality:xxxxx, culling: xxxx, storage of product  originating from NONcertified production process;error deltax:xxxx; reson for the delta:xxxx
Name of product #2 : XXXX;  - [product originating from certified production process] Quantity input: xxxxx; Quantity output: xxxx, unexplained loss: xxxxx; escape:xxxx, mortality:xxxxx, culling: xxxx, storage of product originating from certified production process; error deltax:xxxx; reson for the delta:xxxx
(if applcable) product originating from NONcertified production process]:  Quantity input: xxxxx; Quantity output: xxxx, unexplained loss: xxxxx; escape:xxxx, mortality:xxxxx, culling: xxxx, storage of product  originating from NONcertified production process;error deltax:xxxx; reson for the delta:xxxx
Name of product #3 : XXXX;  - [product originating from certified production process] Quantity input: xxxxx; Quantity output: xxxx, unexplained loss: xxxxx; escape:xxxx, mortality:xxxxx, culling: xxxx, storage of product originating from certified production process; error deltax:xxxx; reson for the delta:xxxx
(if applcable) product originating from NONcertified production process]:  Quantity input: xxxxx; Quantity output: xxxx, unexplained loss: xxxxx; escape:xxxx, mortality:xxxxx, culling: xxxx, storage of product  originating from NONcertified production process;error deltax:xxxx; reson for the delta:xxxx
</t>
    </r>
  </si>
  <si>
    <t>Date that the food safety policy declaration was signed:</t>
  </si>
  <si>
    <t xml:space="preserve">Document identification of the plan: 
name:
code:
revision: 
date: </t>
  </si>
  <si>
    <t xml:space="preserve">Document identification of handling non-conforming product procedures:       
name:
code:
revision: 
date:               </t>
  </si>
  <si>
    <t xml:space="preserve">Document identification of harvesting instructions: 
name:
code:
revision: 
date:  
   </t>
  </si>
  <si>
    <r>
      <t>Confirmation of the broodstock origin:</t>
    </r>
    <r>
      <rPr>
        <sz val="11"/>
        <color rgb="FFFF0000"/>
        <rFont val="Calibri"/>
        <family val="2"/>
        <scheme val="minor"/>
      </rPr>
      <t>xxxxx</t>
    </r>
    <r>
      <rPr>
        <sz val="11"/>
        <color indexed="8"/>
        <rFont val="Calibri"/>
        <family val="2"/>
        <scheme val="minor"/>
      </rPr>
      <t xml:space="preserve">
If wild caught broodstock, document identification  of the documented management plan:
name:
code:
revision: 
date:</t>
    </r>
  </si>
  <si>
    <t>If brood stock is used as human food, document identification of risk assessment to confirm safety to enter the human food chain:
name:
code:
revision: 
date:</t>
  </si>
  <si>
    <t xml:space="preserve">Document identification of traceability of brood stock used:
name:
code:
revision: 
date:  </t>
  </si>
  <si>
    <r>
      <t xml:space="preserve">Confirmation if use or not of invasive marking:     
If invasive marking, anesthetics used is: </t>
    </r>
    <r>
      <rPr>
        <sz val="11"/>
        <color rgb="FFFF0000"/>
        <rFont val="Calibri"/>
        <family val="2"/>
        <scheme val="minor"/>
      </rPr>
      <t>XXXX</t>
    </r>
  </si>
  <si>
    <t xml:space="preserve">Parallel ownership: yes/no?
Traceability records verified 
name of product
batch:
date checked: 
</t>
  </si>
  <si>
    <t xml:space="preserve">name of product
batch:
date checked: </t>
  </si>
  <si>
    <t xml:space="preserve">Hatchery activities verified to be included in AQ 20.08.01, AQ 20.08.04 and AQ 20.02.01.
Visual inspection on biosecurity procedures in place. </t>
  </si>
  <si>
    <t xml:space="preserve">Document identification of stripping and sperm collection instructions:
name:
code:
revision: 
date: </t>
  </si>
  <si>
    <t xml:space="preserve">Document identification of egg release instructions:
name:
code:
revision: 
date: </t>
  </si>
  <si>
    <t xml:space="preserve">Document identification  of up-to-date record of the inventory including records of movements (use and supply):
name:
code:
revision: 
date: </t>
  </si>
  <si>
    <t xml:space="preserve">
Commercial names:
active ingredients:
TDSs date/rev:
SDSs date/rev:
</t>
  </si>
  <si>
    <r>
      <rPr>
        <sz val="8"/>
        <color rgb="FF000000"/>
        <rFont val="Arial"/>
        <family val="2"/>
      </rPr>
      <t xml:space="preserve">Verified in compliance through the AHP. </t>
    </r>
    <r>
      <rPr>
        <strike/>
        <sz val="8"/>
        <color rgb="FF000000"/>
        <rFont val="Arial"/>
        <family val="2"/>
      </rPr>
      <t xml:space="preserve">
</t>
    </r>
  </si>
  <si>
    <t xml:space="preserve">Record date of last calibration/verification for the equipment using in the measuring and dosing of all chemical compounds. </t>
  </si>
  <si>
    <t>Brief description of equipment to deal with operator contamination.
Cross checked with AQ 19.01.02</t>
  </si>
  <si>
    <t>Name of the collection system (if exists):
Date of last record of disposal of chemical compound waste.
Subcontractors for disposal of empty chemical containers: yes/no.</t>
  </si>
  <si>
    <r>
      <t>Name of the collection system (if exists):</t>
    </r>
    <r>
      <rPr>
        <strike/>
        <sz val="8"/>
        <color theme="1"/>
        <rFont val="Arial"/>
        <family val="2"/>
      </rPr>
      <t xml:space="preserve">
</t>
    </r>
    <r>
      <rPr>
        <sz val="8"/>
        <color theme="1"/>
        <rFont val="Arial"/>
        <family val="2"/>
      </rPr>
      <t>Date of last record of disposal of unused chemical compounds.
Subcontractors for disposal of unused chemical compounds: yes/no.</t>
    </r>
  </si>
  <si>
    <t>TRACEABILITY PROCEDURE XXXX - Date: DD/MM/YY;
Document identification  of batch traceability example taken at the time of the audit:
Tracing Backward. Product Checked: XXXX; Delivery Date: DD/MM/YY - Lot number in the Label: XXXX; GGN : XXX;  Customer: XXXX; Documet of Trasport: XXXX;  Harvest Date: DD/MM/YY - Lot/Batch Number: XXXX - Traced Back to the TANK/CAGE: XXXX Movements:XXXX
 Sowing date:XXXX; Supplier arrival documentation (e.g., purchase, transport, health certificate, parents, seedling/stock origin) XXXXX; 
Product Handling: The traceability system also encompasses product handling. For instance, if the product undergo post-harvest processing at an on-site facility, the traceability records extend to cover this aspect. EXAMPLE : Date: DD/MM/YY
Verification of Traceability System:
Annual Verification: The Producer conducts an annual verification of its traceability system. Last test: DD/MM/YY- Product : XXXX  and/or   Recall/Withdraw Mock exercise: DD/MM/YY - Product: XXX</t>
  </si>
  <si>
    <t xml:space="preserve">Document identification of movement example taken at the time of the audit:
name:
code:
revision: 
date:
seedling/stock origin:
species:
biomass:
production ID:
</t>
  </si>
  <si>
    <r>
      <t xml:space="preserve">Document identification of batch composition example: </t>
    </r>
    <r>
      <rPr>
        <sz val="11"/>
        <color rgb="FFFF0000"/>
        <rFont val="Calibri"/>
        <family val="2"/>
        <scheme val="minor"/>
      </rPr>
      <t>XXXXX</t>
    </r>
  </si>
  <si>
    <t>Brood stock included in the scope of certification: yes/no?</t>
  </si>
  <si>
    <t xml:space="preserve">Initial audit: seedlings certified: yes/no? If yes, corresponding GGNs shall be indicated in the audit report.
Subsequent audits: GGNs shall be indicated in the audit report. 
In both cases above, the CB need to validate the respective GGNs. 
</t>
  </si>
  <si>
    <t>Interview with responsible person shows evidence that movement traceability records are understood.</t>
  </si>
  <si>
    <t>Qualifications and requirements of the person that approved and signed the AHP have been verified (no personal data should be recorded).
Document identification 
name:
code:
revision: 
date:
Content verification of the AHP: 
+ Updated accordingly.
+ Items number applicable to the operation.
+ Items number not applicable to the operation.</t>
  </si>
  <si>
    <r>
      <t xml:space="preserve">Legal requirement for health status certification as free from known diseases: </t>
    </r>
    <r>
      <rPr>
        <sz val="11"/>
        <color rgb="FFFF0000"/>
        <rFont val="Calibri"/>
        <family val="2"/>
        <scheme val="minor"/>
      </rPr>
      <t>yes/no</t>
    </r>
    <r>
      <rPr>
        <sz val="11"/>
        <color indexed="8"/>
        <rFont val="Calibri"/>
        <family val="2"/>
        <scheme val="minor"/>
      </rPr>
      <t>? 
If yes, document identification 
document name:
code:
revision: 
date:
If no, refer to AQ 20.02.06.</t>
    </r>
  </si>
  <si>
    <r>
      <t xml:space="preserve">Brood stock used at the farm: </t>
    </r>
    <r>
      <rPr>
        <sz val="11"/>
        <color rgb="FFFF0000"/>
        <rFont val="Calibri"/>
        <family val="2"/>
        <scheme val="minor"/>
      </rPr>
      <t>yes/no</t>
    </r>
    <r>
      <rPr>
        <sz val="11"/>
        <color indexed="8"/>
        <rFont val="Calibri"/>
        <family val="2"/>
        <scheme val="minor"/>
      </rPr>
      <t>? 
If yes, document identification 
name:
code:
revision: 
date:</t>
    </r>
  </si>
  <si>
    <t>Item 2 of the AHP verified.</t>
  </si>
  <si>
    <t>Document identification of good health and welfare parameters used before movement:
name:
code:
revision: 
date:
Cross-check with the documents reviewed during traceability.</t>
  </si>
  <si>
    <t>Document identification of the notifiable diseases and process to report:
name:
code:
revision: 
date:.</t>
  </si>
  <si>
    <t>Document identification of farmed aquatic species register on health and welfare indicators and all disease occurrences:
name:
code:
revision: 
date:</t>
  </si>
  <si>
    <t xml:space="preserve">Document identification  for hygine
name:
code:
revision: 
date:
This can be the same as AQ 03.03 but shall include consideration to farmed aquatic species health and welfare. 
</t>
  </si>
  <si>
    <r>
      <t xml:space="preserve">Document identification of example of record for average weight and biomass at the site: </t>
    </r>
    <r>
      <rPr>
        <sz val="11"/>
        <color rgb="FFFF0000"/>
        <rFont val="Calibri"/>
        <family val="2"/>
        <scheme val="minor"/>
      </rPr>
      <t>XXX</t>
    </r>
  </si>
  <si>
    <t>Document identification  of grading instructions:
name:
code:
revision: 
date:</t>
  </si>
  <si>
    <r>
      <t>Document identificationof feeding instructions:
name:
code:
revision: 
date:
Example of feeding records verified:</t>
    </r>
    <r>
      <rPr>
        <sz val="11"/>
        <color rgb="FFFF0000"/>
        <rFont val="Calibri"/>
        <family val="2"/>
        <scheme val="minor"/>
      </rPr>
      <t xml:space="preserve"> XXX</t>
    </r>
  </si>
  <si>
    <t>Document identification  of set densities for hatchery, grow-out, and transport for all stages covered in the certificate:
name:
code:
revision: 
date:
Example of density verified during the audit
Cage/tank:
batch:
biomass:
density:</t>
  </si>
  <si>
    <t>Document identification  the risk assessment on animal welfare:
name:
code:
revision: 
date:</t>
  </si>
  <si>
    <t xml:space="preserve">Refer to AQ 20.02.14, risk assessment on animal welfare. </t>
  </si>
  <si>
    <t xml:space="preserve">Document identification of potential water pollution sources:
name:
code:
revision: 
date:
Refer to AQ 20.02.18 water quality monitoring and control program. </t>
  </si>
  <si>
    <t>Brief description of the visual inspection performed.</t>
  </si>
  <si>
    <t>Document identification  of water quality monitoring:
name:
code:
revision: 
date:
example of controll verified:
type of controll:
frequency:
laboratory:</t>
  </si>
  <si>
    <t>Refer to AQ 04.02.04.</t>
  </si>
  <si>
    <t>Document identification where periods of crowding, time out of the water, grading, transport, and fasting are recorded:
name:
code:
revision: 
date:</t>
  </si>
  <si>
    <t>Document identification  of example of animal welfare feedback from grow-out stages:
name:
code:
revision: 
date:
Document identification  of example of animal welfare feedback from harvest/post-harvest stages:
name:
code:
revision: 
date:</t>
  </si>
  <si>
    <t xml:space="preserve">Refer to AQ 20.02.01. </t>
  </si>
  <si>
    <t>Document identification  of thr management plan where cohabitant species are covered:
name:
code:
revision: 
date:
cohabitant specie:
origin:</t>
  </si>
  <si>
    <t>Refer to AQ 20.02.18. 
If subcontractor used, refer to AQ 05.01.</t>
  </si>
  <si>
    <t xml:space="preserve">Refer to AQ 20.04.01. </t>
  </si>
  <si>
    <t xml:space="preserve">Document identification  of applicable MRLs in the market where the farmed aquatic species will be traded (domestic or international):
name:
code:
revision: 
date:
List of CoD: </t>
  </si>
  <si>
    <t xml:space="preserve">Refer to AQ 20.02.01. 
</t>
  </si>
  <si>
    <r>
      <t xml:space="preserve">Refer to AQ 20.02.01.  
Mixing feed with medicine on the farm: </t>
    </r>
    <r>
      <rPr>
        <sz val="11"/>
        <color rgb="FFFF0000"/>
        <rFont val="Calibri"/>
        <family val="2"/>
        <scheme val="minor"/>
      </rPr>
      <t>yes/no</t>
    </r>
    <r>
      <rPr>
        <sz val="11"/>
        <color indexed="8"/>
        <rFont val="Calibri"/>
        <family val="2"/>
        <scheme val="minor"/>
      </rPr>
      <t xml:space="preserve">?If Yes:
- Target with justification </t>
    </r>
    <r>
      <rPr>
        <sz val="11"/>
        <color rgb="FFFF0000"/>
        <rFont val="Calibri"/>
        <family val="2"/>
        <scheme val="minor"/>
      </rPr>
      <t>XXX</t>
    </r>
    <r>
      <rPr>
        <sz val="11"/>
        <color indexed="8"/>
        <rFont val="Calibri"/>
        <family val="2"/>
        <scheme val="minor"/>
      </rPr>
      <t xml:space="preserve">
- Person responsible for prescription </t>
    </r>
    <r>
      <rPr>
        <sz val="11"/>
        <color rgb="FFFF0000"/>
        <rFont val="Calibri"/>
        <family val="2"/>
        <scheme val="minor"/>
      </rPr>
      <t>XXX</t>
    </r>
    <r>
      <rPr>
        <sz val="11"/>
        <color indexed="8"/>
        <rFont val="Calibri"/>
        <family val="2"/>
        <scheme val="minor"/>
      </rPr>
      <t xml:space="preserve">
- Trained person responsible for mixing feed with  medicines </t>
    </r>
    <r>
      <rPr>
        <sz val="11"/>
        <color rgb="FFFF0000"/>
        <rFont val="Calibri"/>
        <family val="2"/>
        <scheme val="minor"/>
      </rPr>
      <t>XXX</t>
    </r>
    <r>
      <rPr>
        <sz val="11"/>
        <color indexed="8"/>
        <rFont val="Calibri"/>
        <family val="2"/>
        <scheme val="minor"/>
      </rPr>
      <t xml:space="preserve">
- Records of feed used </t>
    </r>
    <r>
      <rPr>
        <sz val="11"/>
        <color rgb="FFFF0000"/>
        <rFont val="Calibri"/>
        <family val="2"/>
        <scheme val="minor"/>
      </rPr>
      <t>XXX</t>
    </r>
    <r>
      <rPr>
        <sz val="11"/>
        <color indexed="8"/>
        <rFont val="Calibri"/>
        <family val="2"/>
        <scheme val="minor"/>
      </rPr>
      <t xml:space="preserve">
- Active ingredient and product name</t>
    </r>
    <r>
      <rPr>
        <sz val="11"/>
        <color rgb="FFFF0000"/>
        <rFont val="Calibri"/>
        <family val="2"/>
        <scheme val="minor"/>
      </rPr>
      <t xml:space="preserve"> XXX</t>
    </r>
    <r>
      <rPr>
        <sz val="11"/>
        <color indexed="8"/>
        <rFont val="Calibri"/>
        <family val="2"/>
        <scheme val="minor"/>
      </rPr>
      <t xml:space="preserve">
- Concentrations used and mixing procedures following label instructions</t>
    </r>
    <r>
      <rPr>
        <sz val="11"/>
        <color rgb="FFFF0000"/>
        <rFont val="Calibri"/>
        <family val="2"/>
        <scheme val="minor"/>
      </rPr>
      <t xml:space="preserve"> XXX</t>
    </r>
    <r>
      <rPr>
        <sz val="11"/>
        <color indexed="8"/>
        <rFont val="Calibri"/>
        <family val="2"/>
        <scheme val="minor"/>
      </rPr>
      <t xml:space="preserve">
- Feeding administration procedure </t>
    </r>
    <r>
      <rPr>
        <sz val="11"/>
        <color rgb="FFFF0000"/>
        <rFont val="Calibri"/>
        <family val="2"/>
        <scheme val="minor"/>
      </rPr>
      <t>XXX</t>
    </r>
    <r>
      <rPr>
        <sz val="11"/>
        <color indexed="8"/>
        <rFont val="Calibri"/>
        <family val="2"/>
        <scheme val="minor"/>
      </rPr>
      <t xml:space="preserve">
- Evidence of active ingredient concentration </t>
    </r>
    <r>
      <rPr>
        <sz val="11"/>
        <color rgb="FFFF0000"/>
        <rFont val="Calibri"/>
        <family val="2"/>
        <scheme val="minor"/>
      </rPr>
      <t>XXX</t>
    </r>
    <r>
      <rPr>
        <sz val="11"/>
        <color indexed="8"/>
        <rFont val="Calibri"/>
        <family val="2"/>
        <scheme val="minor"/>
      </rPr>
      <t xml:space="preserve">
- Withdrawal times </t>
    </r>
    <r>
      <rPr>
        <sz val="11"/>
        <color rgb="FFFF0000"/>
        <rFont val="Calibri"/>
        <family val="2"/>
        <scheme val="minor"/>
      </rPr>
      <t>XXX</t>
    </r>
  </si>
  <si>
    <t>Refer to AQ 20.02.01.</t>
  </si>
  <si>
    <r>
      <t>Document identification of example of vaccination related to the specific batch: (</t>
    </r>
    <r>
      <rPr>
        <sz val="11"/>
        <color rgb="FFFF0000"/>
        <rFont val="Calibri"/>
        <family val="2"/>
        <scheme val="minor"/>
      </rPr>
      <t>name of vaccine, date, batch, specie etc</t>
    </r>
    <r>
      <rPr>
        <sz val="11"/>
        <color indexed="8"/>
        <rFont val="Calibri"/>
        <family val="2"/>
        <scheme val="minor"/>
      </rPr>
      <t xml:space="preserve">.)
</t>
    </r>
  </si>
  <si>
    <t>Refer to AQ 20.02.01, AHP</t>
  </si>
  <si>
    <t>Medicine or medicated feed disposal documented procedure reviewed. 
Document identification 
name:
code:
revision: 
date:</t>
  </si>
  <si>
    <r>
      <t xml:space="preserve">Document identification of purchased records: </t>
    </r>
    <r>
      <rPr>
        <sz val="11"/>
        <color rgb="FFFF0000"/>
        <rFont val="Calibri"/>
        <family val="2"/>
        <scheme val="minor"/>
      </rPr>
      <t>XXX</t>
    </r>
    <r>
      <rPr>
        <sz val="11"/>
        <color indexed="8"/>
        <rFont val="Calibri"/>
        <family val="2"/>
        <scheme val="minor"/>
      </rPr>
      <t xml:space="preserve">
Document identification of administrated records:</t>
    </r>
    <r>
      <rPr>
        <sz val="11"/>
        <color rgb="FFFF0000"/>
        <rFont val="Calibri"/>
        <family val="2"/>
        <scheme val="minor"/>
      </rPr>
      <t>XXX</t>
    </r>
  </si>
  <si>
    <t>For treatment records, refer to AQ 20.04.01. 
Document identification  of trend analysis:
name:
code:
revision: 
date:</t>
  </si>
  <si>
    <t>Evidence that a system for identification of treated biomass is in place.</t>
  </si>
  <si>
    <r>
      <t>Document identification  of records on site of treatment and preharvest withdrawal period related to specific dates:</t>
    </r>
    <r>
      <rPr>
        <sz val="11"/>
        <color rgb="FFFF0000"/>
        <rFont val="Calibri"/>
        <family val="2"/>
        <scheme val="minor"/>
      </rPr>
      <t>XXXX</t>
    </r>
  </si>
  <si>
    <t>Refer to AQ 20.02.01, item 14.</t>
  </si>
  <si>
    <r>
      <t xml:space="preserve">Values: 
1) value of the overall percentage of mortalities per production stage </t>
    </r>
    <r>
      <rPr>
        <sz val="11"/>
        <color rgb="FFFF0000"/>
        <rFont val="Calibri"/>
        <family val="2"/>
        <scheme val="minor"/>
      </rPr>
      <t>XXX</t>
    </r>
    <r>
      <rPr>
        <sz val="11"/>
        <color indexed="8"/>
        <rFont val="Calibri"/>
        <family val="2"/>
        <scheme val="minor"/>
      </rPr>
      <t xml:space="preserve">
2) values linked to the causes of death</t>
    </r>
    <r>
      <rPr>
        <sz val="11"/>
        <color rgb="FFFF0000"/>
        <rFont val="Calibri"/>
        <family val="2"/>
        <scheme val="minor"/>
      </rPr>
      <t xml:space="preserve"> XXX</t>
    </r>
    <r>
      <rPr>
        <sz val="11"/>
        <color indexed="8"/>
        <rFont val="Calibri"/>
        <family val="2"/>
        <scheme val="minor"/>
      </rPr>
      <t xml:space="preserve">
Document identification of records at production unit level: </t>
    </r>
    <r>
      <rPr>
        <sz val="11"/>
        <color rgb="FFFF0000"/>
        <rFont val="Calibri"/>
        <family val="2"/>
        <scheme val="minor"/>
      </rPr>
      <t>XXX</t>
    </r>
  </si>
  <si>
    <t xml:space="preserve">Refer to AHP 20.02.01, item 13.
Refer to AQ 05.01 if applicable. </t>
  </si>
  <si>
    <r>
      <t xml:space="preserve">Document identification  of contingency plan for dealing with mass mortalities:
name:
code:
revision: 
date:
In case there has been an episode on mass mortality during the last certification cycle, evidence of communication to the veterinarian/aquatic animal health professional and relevant government official: </t>
    </r>
    <r>
      <rPr>
        <sz val="11"/>
        <color rgb="FFFF0000"/>
        <rFont val="Calibri"/>
        <family val="2"/>
        <scheme val="minor"/>
      </rPr>
      <t>XXX</t>
    </r>
  </si>
  <si>
    <r>
      <t xml:space="preserve">Document identification  of water depth and suspended pen nets dimensions: </t>
    </r>
    <r>
      <rPr>
        <sz val="11"/>
        <color rgb="FFFF0000"/>
        <rFont val="Calibri"/>
        <family val="2"/>
        <scheme val="minor"/>
      </rPr>
      <t>XXX</t>
    </r>
  </si>
  <si>
    <r>
      <t xml:space="preserve">Document identification  of net maintenance records:
</t>
    </r>
    <r>
      <rPr>
        <sz val="11"/>
        <color rgb="FFFF0000"/>
        <rFont val="Calibri"/>
        <family val="2"/>
        <scheme val="minor"/>
      </rPr>
      <t>XXX</t>
    </r>
  </si>
  <si>
    <t>Net mesh size appropriate based on range of farmed aquatic species size.</t>
  </si>
  <si>
    <r>
      <t xml:space="preserve">Document identification (name/code, date/edition, etc.) of pen and mooring system maintenance: </t>
    </r>
    <r>
      <rPr>
        <sz val="11"/>
        <color rgb="FFFF0000"/>
        <rFont val="Calibri"/>
        <family val="2"/>
        <scheme val="minor"/>
      </rPr>
      <t>XXXX</t>
    </r>
  </si>
  <si>
    <t xml:space="preserve">Evidence that pens in body of water are clearly marked. Description of evidence presented for day and night navigation aids used. </t>
  </si>
  <si>
    <t>Refer to item 20 of AHP.
Records of fallowing and restocking in place.</t>
  </si>
  <si>
    <r>
      <t xml:space="preserve">Document identification </t>
    </r>
    <r>
      <rPr>
        <sz val="11"/>
        <color rgb="FFFF0000"/>
        <rFont val="Calibri"/>
        <family val="2"/>
        <scheme val="minor"/>
      </rPr>
      <t>(name/code, date/edition, etc.</t>
    </r>
    <r>
      <rPr>
        <sz val="11"/>
        <color indexed="8"/>
        <rFont val="Calibri"/>
        <family val="2"/>
        <scheme val="minor"/>
      </rPr>
      <t xml:space="preserve">) of inorganic fertilization per pond if the case: </t>
    </r>
  </si>
  <si>
    <r>
      <t>Document identification (</t>
    </r>
    <r>
      <rPr>
        <sz val="11"/>
        <color rgb="FFFF0000"/>
        <rFont val="Calibri"/>
        <family val="2"/>
        <scheme val="minor"/>
      </rPr>
      <t>name/code, date/edition, etc.</t>
    </r>
    <r>
      <rPr>
        <sz val="11"/>
        <color indexed="8"/>
        <rFont val="Calibri"/>
        <family val="2"/>
        <scheme val="minor"/>
      </rPr>
      <t xml:space="preserve">) of the last sediment activity: </t>
    </r>
  </si>
  <si>
    <t>Document identification of Biosecurity plan
name:
code:
revision: 
date:
trainig:</t>
  </si>
  <si>
    <t>Area management plan: yes/no?
If yes, document identification (name/code, date/edition, etc.):
If no, type of evidence demonstrating communication and collaboration.</t>
  </si>
  <si>
    <r>
      <t>Harvesting activities included in the audit.
Document identification of cleaning and disinfection records (</t>
    </r>
    <r>
      <rPr>
        <sz val="11"/>
        <color rgb="FFFF0000"/>
        <rFont val="Calibri"/>
        <family val="2"/>
        <scheme val="minor"/>
      </rPr>
      <t>name/code, date/edition, etc</t>
    </r>
    <r>
      <rPr>
        <sz val="11"/>
        <color indexed="8"/>
        <rFont val="Calibri"/>
        <family val="2"/>
        <scheme val="minor"/>
      </rPr>
      <t>.):</t>
    </r>
  </si>
  <si>
    <r>
      <t>Document identification (</t>
    </r>
    <r>
      <rPr>
        <sz val="11"/>
        <color rgb="FFFF0000"/>
        <rFont val="Calibri"/>
        <family val="2"/>
        <scheme val="minor"/>
      </rPr>
      <t>name/code, date/edition, etc</t>
    </r>
    <r>
      <rPr>
        <sz val="11"/>
        <color indexed="8"/>
        <rFont val="Calibri"/>
        <family val="2"/>
        <scheme val="minor"/>
      </rPr>
      <t xml:space="preserve">.) of maintenance records: </t>
    </r>
  </si>
  <si>
    <r>
      <t>Document identification (</t>
    </r>
    <r>
      <rPr>
        <sz val="11"/>
        <color rgb="FFFF0000"/>
        <rFont val="Calibri"/>
        <family val="2"/>
        <scheme val="minor"/>
      </rPr>
      <t>name/code, date/edition, etc.</t>
    </r>
    <r>
      <rPr>
        <sz val="11"/>
        <color indexed="8"/>
        <rFont val="Calibri"/>
        <family val="2"/>
        <scheme val="minor"/>
      </rPr>
      <t xml:space="preserve">) of cleaning and disinfection: 
</t>
    </r>
  </si>
  <si>
    <t>Refer to biosecurity plan in AQ 20.08.01.</t>
  </si>
  <si>
    <t>Refer to the AHP, item 4 (AQ 20.02.01, quarantine procedures).</t>
  </si>
  <si>
    <t>Refer to AQ 20.02.06 for the health status records.
Quarantine activities during the last certification cycle: yes/no?</t>
  </si>
  <si>
    <r>
      <t>Refer to AQ 06.03.01 for water release. 
Document identification (</t>
    </r>
    <r>
      <rPr>
        <sz val="11"/>
        <color rgb="FFFF0000"/>
        <rFont val="Calibri"/>
        <family val="2"/>
        <scheme val="minor"/>
      </rPr>
      <t>name/code, date/edition, etc</t>
    </r>
    <r>
      <rPr>
        <sz val="11"/>
        <color indexed="8"/>
        <rFont val="Calibri"/>
        <family val="2"/>
        <scheme val="minor"/>
      </rPr>
      <t xml:space="preserve">.) of incoming water treatment: </t>
    </r>
  </si>
  <si>
    <r>
      <t>Refer to AQ 07.03.01. 
Document identification (</t>
    </r>
    <r>
      <rPr>
        <sz val="11"/>
        <color rgb="FFFF0000"/>
        <rFont val="Calibri"/>
        <family val="2"/>
        <scheme val="minor"/>
      </rPr>
      <t>name/code, date/edition, etc.</t>
    </r>
    <r>
      <rPr>
        <sz val="11"/>
        <color indexed="8"/>
        <rFont val="Calibri"/>
        <family val="2"/>
        <scheme val="minor"/>
      </rPr>
      <t xml:space="preserve">) of documented procedure to prevent accidental release of stock into the environment: 
</t>
    </r>
  </si>
  <si>
    <r>
      <t>Document identification (</t>
    </r>
    <r>
      <rPr>
        <sz val="11"/>
        <color rgb="FFFF0000"/>
        <rFont val="Calibri"/>
        <family val="2"/>
        <scheme val="minor"/>
      </rPr>
      <t>name/code, date/edition, etc</t>
    </r>
    <r>
      <rPr>
        <sz val="11"/>
        <color indexed="8"/>
        <rFont val="Calibri"/>
        <family val="2"/>
        <scheme val="minor"/>
      </rPr>
      <t>.) of instructions of system/equipment failure notification:</t>
    </r>
  </si>
  <si>
    <t xml:space="preserve">Refer to AQ 20.02.14. </t>
  </si>
  <si>
    <t xml:space="preserve">
Document  of list of substances and frequency analyzed name: XXXXXX, dated DD/MM/YY. Code XXX ; 
Frequency of analysis for each specie/feed is : XXX; 
Record any specie/feed for which risk assessment has concluded that NO analysis is necessary: XXXX (where applicable);
Record any active ingredient  NOT covered by MRL Test : XXX (where applicable) </t>
  </si>
  <si>
    <t xml:space="preserve">
Accreditation of the Laboratory used:
1)Water analysis: Laboratory name: XXXX - Accreediation: XXX .
2)MRL Test Laboratory name: XXXX - Accreediation: XX</t>
  </si>
  <si>
    <r>
      <t xml:space="preserve">Document identification (name/code, date/edition, etc.) of example of laboratory used related to specific batch or production units' ID:
</t>
    </r>
    <r>
      <rPr>
        <sz val="11"/>
        <color rgb="FFFF0000"/>
        <rFont val="Calibri"/>
        <family val="2"/>
        <scheme val="minor"/>
      </rPr>
      <t>test report number xxxx  date xxxx product xxx batch/production units' ID xxxx</t>
    </r>
  </si>
  <si>
    <t>Refer to AQ 22.02.03.</t>
  </si>
  <si>
    <t xml:space="preserve">Names and GGNs of internal/external of feed suppliers.
Compound feed supplier recognized through option iii: yes/no?
If yes, name of supplier, feed safety scheme certificate, and evidence of compliance of GLOBALG.A.P. CFM v3.1 section A5 and section B and C. </t>
  </si>
  <si>
    <r>
      <t>Document identification (</t>
    </r>
    <r>
      <rPr>
        <sz val="11"/>
        <color rgb="FFFF0000"/>
        <rFont val="Calibri"/>
        <family val="2"/>
        <scheme val="minor"/>
      </rPr>
      <t>name/code , date/edition, etc.)</t>
    </r>
    <r>
      <rPr>
        <sz val="11"/>
        <color indexed="8"/>
        <rFont val="Calibri"/>
        <family val="2"/>
        <scheme val="minor"/>
      </rPr>
      <t xml:space="preserve"> of internal/external supply: </t>
    </r>
    <r>
      <rPr>
        <sz val="11"/>
        <color rgb="FFFF0000"/>
        <rFont val="Calibri"/>
        <family val="2"/>
        <scheme val="minor"/>
      </rPr>
      <t>XXX</t>
    </r>
  </si>
  <si>
    <r>
      <t>Document identification (</t>
    </r>
    <r>
      <rPr>
        <sz val="11"/>
        <color rgb="FFFF0000"/>
        <rFont val="Calibri"/>
        <family val="2"/>
        <scheme val="minor"/>
      </rPr>
      <t>name/code, date/edition, etc.</t>
    </r>
    <r>
      <rPr>
        <sz val="11"/>
        <color indexed="8"/>
        <rFont val="Calibri"/>
        <family val="2"/>
        <scheme val="minor"/>
      </rPr>
      <t>) of protein sources related to species specific</t>
    </r>
    <r>
      <rPr>
        <sz val="11"/>
        <color rgb="FFFF0000"/>
        <rFont val="Calibri"/>
        <family val="2"/>
        <scheme val="minor"/>
      </rPr>
      <t>:XXX</t>
    </r>
  </si>
  <si>
    <r>
      <t>Document identification (</t>
    </r>
    <r>
      <rPr>
        <sz val="11"/>
        <color rgb="FFFF0000"/>
        <rFont val="Calibri"/>
        <family val="2"/>
        <scheme val="minor"/>
      </rPr>
      <t>name/code, date/edition, etc.</t>
    </r>
    <r>
      <rPr>
        <sz val="11"/>
        <color indexed="8"/>
        <rFont val="Calibri"/>
        <family val="2"/>
        <scheme val="minor"/>
      </rPr>
      <t>) of example taken at a site audited:</t>
    </r>
    <r>
      <rPr>
        <sz val="11"/>
        <color rgb="FFFF0000"/>
        <rFont val="Calibri"/>
        <family val="2"/>
        <scheme val="minor"/>
      </rPr>
      <t>XXX</t>
    </r>
  </si>
  <si>
    <t>Average fish meal and fish oil percentage.
The fish-in/fish-out ratio.</t>
  </si>
  <si>
    <t>At least one value of eFCR per production life cycle.</t>
  </si>
  <si>
    <t>Samples of feed are taken and kept by the farm. 
Or
Samples of feed are taken and kept by the feed supplier.</t>
  </si>
  <si>
    <r>
      <t>Document identification (</t>
    </r>
    <r>
      <rPr>
        <sz val="11"/>
        <color rgb="FFFF0000"/>
        <rFont val="Calibri"/>
        <family val="2"/>
        <scheme val="minor"/>
      </rPr>
      <t>name/code, date/edition, etc.</t>
    </r>
    <r>
      <rPr>
        <sz val="11"/>
        <color indexed="8"/>
        <rFont val="Calibri"/>
        <family val="2"/>
        <scheme val="minor"/>
      </rPr>
      <t>) of storage instructions:</t>
    </r>
    <r>
      <rPr>
        <sz val="11"/>
        <color rgb="FFFF0000"/>
        <rFont val="Calibri"/>
        <family val="2"/>
        <scheme val="minor"/>
      </rPr>
      <t>XXX</t>
    </r>
  </si>
  <si>
    <r>
      <t>Document identification (</t>
    </r>
    <r>
      <rPr>
        <sz val="11"/>
        <color rgb="FFFF0000"/>
        <rFont val="Calibri"/>
        <family val="2"/>
        <scheme val="minor"/>
      </rPr>
      <t>name/code, date/edition, etc</t>
    </r>
    <r>
      <rPr>
        <sz val="11"/>
        <color indexed="8"/>
        <rFont val="Calibri"/>
        <family val="2"/>
        <scheme val="minor"/>
      </rPr>
      <t>.) of instructions on how to deal with contaminated feed, excess medicated feed, and flushed feed:</t>
    </r>
    <r>
      <rPr>
        <sz val="11"/>
        <color rgb="FFFF0000"/>
        <rFont val="Calibri"/>
        <family val="2"/>
        <scheme val="minor"/>
      </rPr>
      <t>XXX</t>
    </r>
  </si>
  <si>
    <t>Refer to AQ 01.01.01. 
Subcontractor used: yes/no? If yes, refer to AQ 05.01.</t>
  </si>
  <si>
    <r>
      <t>Document identification (</t>
    </r>
    <r>
      <rPr>
        <sz val="11"/>
        <color rgb="FFFF0000"/>
        <rFont val="Calibri"/>
        <family val="2"/>
        <scheme val="minor"/>
      </rPr>
      <t>name/code, date/edition, etc.</t>
    </r>
    <r>
      <rPr>
        <sz val="11"/>
        <color indexed="8"/>
        <rFont val="Calibri"/>
        <family val="2"/>
        <scheme val="minor"/>
      </rPr>
      <t xml:space="preserve">) of harvest and transport instructions: </t>
    </r>
    <r>
      <rPr>
        <sz val="11"/>
        <color rgb="FFFF0000"/>
        <rFont val="Calibri"/>
        <family val="2"/>
        <scheme val="minor"/>
      </rPr>
      <t>XXX</t>
    </r>
  </si>
  <si>
    <r>
      <t>Document identification (</t>
    </r>
    <r>
      <rPr>
        <sz val="11"/>
        <color rgb="FFFF0000"/>
        <rFont val="Calibri"/>
        <family val="2"/>
        <scheme val="minor"/>
      </rPr>
      <t>name/code, date/edition, etc</t>
    </r>
    <r>
      <rPr>
        <sz val="11"/>
        <color indexed="8"/>
        <rFont val="Calibri"/>
        <family val="2"/>
        <scheme val="minor"/>
      </rPr>
      <t xml:space="preserve">.) of cleaning records of an example of transport taken during the audit: </t>
    </r>
    <r>
      <rPr>
        <sz val="11"/>
        <color rgb="FFFF0000"/>
        <rFont val="Calibri"/>
        <family val="2"/>
        <scheme val="minor"/>
      </rPr>
      <t>XXX</t>
    </r>
  </si>
  <si>
    <r>
      <t>Document identification (n</t>
    </r>
    <r>
      <rPr>
        <sz val="11"/>
        <color rgb="FFFF0000"/>
        <rFont val="Calibri"/>
        <family val="2"/>
        <scheme val="minor"/>
      </rPr>
      <t>ame/code, date/edition, etc.</t>
    </r>
    <r>
      <rPr>
        <sz val="11"/>
        <color indexed="8"/>
        <rFont val="Calibri"/>
        <family val="2"/>
        <scheme val="minor"/>
      </rPr>
      <t xml:space="preserve">) of temperature records, as an example, linked to a specific biomass batch and/or site: </t>
    </r>
    <r>
      <rPr>
        <sz val="11"/>
        <color rgb="FFFF0000"/>
        <rFont val="Calibri"/>
        <family val="2"/>
        <scheme val="minor"/>
      </rPr>
      <t>XXX</t>
    </r>
  </si>
  <si>
    <r>
      <t>Document identification (n</t>
    </r>
    <r>
      <rPr>
        <sz val="11"/>
        <color rgb="FFFF0000"/>
        <rFont val="Calibri"/>
        <family val="2"/>
        <scheme val="minor"/>
      </rPr>
      <t>ame/code, date/edition, etc</t>
    </r>
    <r>
      <rPr>
        <sz val="11"/>
        <color indexed="8"/>
        <rFont val="Calibri"/>
        <family val="2"/>
        <scheme val="minor"/>
      </rPr>
      <t xml:space="preserve">.) of water analysis (water used to make ice): </t>
    </r>
    <r>
      <rPr>
        <sz val="11"/>
        <color rgb="FFFF0000"/>
        <rFont val="Calibri"/>
        <family val="2"/>
        <scheme val="minor"/>
      </rPr>
      <t>test report number XXXX date XXX</t>
    </r>
  </si>
  <si>
    <r>
      <t>Document identification (</t>
    </r>
    <r>
      <rPr>
        <sz val="11"/>
        <color rgb="FFFF0000"/>
        <rFont val="Calibri"/>
        <family val="2"/>
        <scheme val="minor"/>
      </rPr>
      <t>name/code, date/edition, etc.</t>
    </r>
    <r>
      <rPr>
        <sz val="11"/>
        <color indexed="8"/>
        <rFont val="Calibri"/>
        <family val="2"/>
        <scheme val="minor"/>
      </rPr>
      <t xml:space="preserve">) of traceability example: </t>
    </r>
    <r>
      <rPr>
        <sz val="11"/>
        <color rgb="FFFF0000"/>
        <rFont val="Calibri"/>
        <family val="2"/>
        <scheme val="minor"/>
      </rPr>
      <t>XXX</t>
    </r>
  </si>
  <si>
    <r>
      <t>Document identification (n</t>
    </r>
    <r>
      <rPr>
        <sz val="11"/>
        <color rgb="FFFF0000"/>
        <rFont val="Calibri"/>
        <family val="2"/>
        <scheme val="minor"/>
      </rPr>
      <t>ame/code, date/edition, etc.</t>
    </r>
    <r>
      <rPr>
        <sz val="11"/>
        <color indexed="8"/>
        <rFont val="Calibri"/>
        <family val="2"/>
        <scheme val="minor"/>
      </rPr>
      <t>) of traceability example: s</t>
    </r>
    <r>
      <rPr>
        <sz val="11"/>
        <color rgb="FFFF0000"/>
        <rFont val="Calibri"/>
        <family val="2"/>
        <scheme val="minor"/>
      </rPr>
      <t>pecie:xxx, batch:xxx etc..</t>
    </r>
    <r>
      <rPr>
        <sz val="11"/>
        <color indexed="8"/>
        <rFont val="Calibri"/>
        <family val="2"/>
        <scheme val="minor"/>
      </rPr>
      <t>.</t>
    </r>
  </si>
  <si>
    <r>
      <t>Refer to AQ 04.02.04. 
If performed by subcontractors: 
Document identification (</t>
    </r>
    <r>
      <rPr>
        <sz val="11"/>
        <color rgb="FFFF0000"/>
        <rFont val="Calibri"/>
        <family val="2"/>
        <scheme val="minor"/>
      </rPr>
      <t>name/code, date/edition, etc</t>
    </r>
    <r>
      <rPr>
        <sz val="11"/>
        <color indexed="8"/>
        <rFont val="Calibri"/>
        <family val="2"/>
        <scheme val="minor"/>
      </rPr>
      <t xml:space="preserve">.) of the internal description of animal health and welfare indicators: </t>
    </r>
    <r>
      <rPr>
        <sz val="11"/>
        <color rgb="FFFF0000"/>
        <rFont val="Calibri"/>
        <family val="2"/>
        <scheme val="minor"/>
      </rPr>
      <t>XXX</t>
    </r>
    <r>
      <rPr>
        <sz val="11"/>
        <color indexed="8"/>
        <rFont val="Calibri"/>
        <family val="2"/>
        <scheme val="minor"/>
      </rPr>
      <t xml:space="preserve">
Document identification (</t>
    </r>
    <r>
      <rPr>
        <sz val="11"/>
        <color rgb="FFFF0000"/>
        <rFont val="Calibri"/>
        <family val="2"/>
        <scheme val="minor"/>
      </rPr>
      <t>name/code, date/edition, etc.</t>
    </r>
    <r>
      <rPr>
        <sz val="11"/>
        <color indexed="8"/>
        <rFont val="Calibri"/>
        <family val="2"/>
        <scheme val="minor"/>
      </rPr>
      <t xml:space="preserve">) of evidence of training: </t>
    </r>
    <r>
      <rPr>
        <sz val="11"/>
        <color rgb="FFFF0000"/>
        <rFont val="Calibri"/>
        <family val="2"/>
        <scheme val="minor"/>
      </rPr>
      <t>XXX</t>
    </r>
  </si>
  <si>
    <r>
      <t xml:space="preserve">Refer to AQ 04.02.04. 
If performed by subcontractors: 
Document identification </t>
    </r>
    <r>
      <rPr>
        <sz val="11"/>
        <color rgb="FFFF0000"/>
        <rFont val="Calibri"/>
        <family val="2"/>
        <scheme val="minor"/>
      </rPr>
      <t>(name/code, date/edition, etc.</t>
    </r>
    <r>
      <rPr>
        <sz val="11"/>
        <color indexed="8"/>
        <rFont val="Calibri"/>
        <family val="2"/>
        <scheme val="minor"/>
      </rPr>
      <t>) of the internal description of animal health and welfare indicators:</t>
    </r>
    <r>
      <rPr>
        <sz val="11"/>
        <color rgb="FFFF0000"/>
        <rFont val="Calibri"/>
        <family val="2"/>
        <scheme val="minor"/>
      </rPr>
      <t xml:space="preserve"> XXX</t>
    </r>
    <r>
      <rPr>
        <sz val="11"/>
        <color indexed="8"/>
        <rFont val="Calibri"/>
        <family val="2"/>
        <scheme val="minor"/>
      </rPr>
      <t xml:space="preserve">
Document identification (</t>
    </r>
    <r>
      <rPr>
        <sz val="11"/>
        <color rgb="FFFF0000"/>
        <rFont val="Calibri"/>
        <family val="2"/>
        <scheme val="minor"/>
      </rPr>
      <t>name/code, date/edition, etc.</t>
    </r>
    <r>
      <rPr>
        <sz val="11"/>
        <color indexed="8"/>
        <rFont val="Calibri"/>
        <family val="2"/>
        <scheme val="minor"/>
      </rPr>
      <t xml:space="preserve">) of evidence of training: </t>
    </r>
    <r>
      <rPr>
        <sz val="11"/>
        <color rgb="FFFF0000"/>
        <rFont val="Calibri"/>
        <family val="2"/>
        <scheme val="minor"/>
      </rPr>
      <t>XXX</t>
    </r>
  </si>
  <si>
    <r>
      <t>Document identification (n</t>
    </r>
    <r>
      <rPr>
        <sz val="11"/>
        <color rgb="FFFF0000"/>
        <rFont val="Calibri"/>
        <family val="2"/>
        <scheme val="minor"/>
      </rPr>
      <t>ame/code, date/edition, etc.</t>
    </r>
    <r>
      <rPr>
        <sz val="11"/>
        <color indexed="8"/>
        <rFont val="Calibri"/>
        <family val="2"/>
        <scheme val="minor"/>
      </rPr>
      <t xml:space="preserve">) of oxygen records: </t>
    </r>
    <r>
      <rPr>
        <sz val="11"/>
        <color rgb="FFFF0000"/>
        <rFont val="Calibri"/>
        <family val="2"/>
        <scheme val="minor"/>
      </rPr>
      <t>XXX</t>
    </r>
  </si>
  <si>
    <r>
      <t>Document identification (</t>
    </r>
    <r>
      <rPr>
        <sz val="11"/>
        <color rgb="FFFF0000"/>
        <rFont val="Calibri"/>
        <family val="2"/>
        <scheme val="minor"/>
      </rPr>
      <t>name/code, date/edition, etc</t>
    </r>
    <r>
      <rPr>
        <sz val="11"/>
        <color indexed="8"/>
        <rFont val="Calibri"/>
        <family val="2"/>
        <scheme val="minor"/>
      </rPr>
      <t>.) of the environmental risk assessment and respective environmental management plan that includes any sources of pollution that may enter in contact with the farmed aquatic species:</t>
    </r>
    <r>
      <rPr>
        <sz val="11"/>
        <color rgb="FFFF0000"/>
        <rFont val="Calibri"/>
        <family val="2"/>
        <scheme val="minor"/>
      </rPr>
      <t>XXX</t>
    </r>
  </si>
  <si>
    <r>
      <t>Document identification (</t>
    </r>
    <r>
      <rPr>
        <sz val="11"/>
        <color rgb="FFFF0000"/>
        <rFont val="Calibri"/>
        <family val="2"/>
        <scheme val="minor"/>
      </rPr>
      <t>name/code, date/edition, etc.</t>
    </r>
    <r>
      <rPr>
        <sz val="11"/>
        <color indexed="8"/>
        <rFont val="Calibri"/>
        <family val="2"/>
        <scheme val="minor"/>
      </rPr>
      <t>) of mortality and trend analysis (at holding and crowding facilities):</t>
    </r>
    <r>
      <rPr>
        <sz val="11"/>
        <color rgb="FFFF0000"/>
        <rFont val="Calibri"/>
        <family val="2"/>
        <scheme val="minor"/>
      </rPr>
      <t>XXX</t>
    </r>
  </si>
  <si>
    <r>
      <t>Refer to AQ 20.05. 
If performed by subcontractors: 
document identification (</t>
    </r>
    <r>
      <rPr>
        <sz val="11"/>
        <color rgb="FFFF0000"/>
        <rFont val="Calibri"/>
        <family val="2"/>
        <scheme val="minor"/>
      </rPr>
      <t>name/code, date/edition, etc.</t>
    </r>
    <r>
      <rPr>
        <sz val="11"/>
        <color indexed="8"/>
        <rFont val="Calibri"/>
        <family val="2"/>
        <scheme val="minor"/>
      </rPr>
      <t xml:space="preserve">) of large scale mortality handling.  </t>
    </r>
  </si>
  <si>
    <r>
      <t>Refer to AQ 20.05. 
If performed by subcontractors: 
Document identification (</t>
    </r>
    <r>
      <rPr>
        <sz val="11"/>
        <color rgb="FFFF0000"/>
        <rFont val="Calibri"/>
        <family val="2"/>
        <scheme val="minor"/>
      </rPr>
      <t>name/code, date/edition, etc.</t>
    </r>
    <r>
      <rPr>
        <sz val="11"/>
        <color indexed="8"/>
        <rFont val="Calibri"/>
        <family val="2"/>
        <scheme val="minor"/>
      </rPr>
      <t xml:space="preserve">) of cause of death records: </t>
    </r>
    <r>
      <rPr>
        <sz val="11"/>
        <color rgb="FFFF0000"/>
        <rFont val="Calibri"/>
        <family val="2"/>
        <scheme val="minor"/>
      </rPr>
      <t>XXX</t>
    </r>
  </si>
  <si>
    <r>
      <t>Refer to AQ 07.03. 
If performed by subcontractors: 
Document identification (</t>
    </r>
    <r>
      <rPr>
        <sz val="11"/>
        <color rgb="FFFF0000"/>
        <rFont val="Calibri"/>
        <family val="2"/>
        <scheme val="minor"/>
      </rPr>
      <t>name/code, date/edition, batch, specie, biomass etc.</t>
    </r>
    <r>
      <rPr>
        <sz val="11"/>
        <color indexed="8"/>
        <rFont val="Calibri"/>
        <family val="2"/>
        <scheme val="minor"/>
      </rPr>
      <t xml:space="preserve">) of escapes in the previous certification cycle: </t>
    </r>
    <r>
      <rPr>
        <sz val="11"/>
        <color rgb="FFFF0000"/>
        <rFont val="Calibri"/>
        <family val="2"/>
        <scheme val="minor"/>
      </rPr>
      <t>XXX</t>
    </r>
    <r>
      <rPr>
        <sz val="11"/>
        <color indexed="8"/>
        <rFont val="Calibri"/>
        <family val="2"/>
        <scheme val="minor"/>
      </rPr>
      <t xml:space="preserve">
If escapes took place, evidence that this has been reported to the authorities. Ref. </t>
    </r>
    <r>
      <rPr>
        <sz val="11"/>
        <color rgb="FFFF0000"/>
        <rFont val="Calibri"/>
        <family val="2"/>
        <scheme val="minor"/>
      </rPr>
      <t>XXX</t>
    </r>
  </si>
  <si>
    <r>
      <t>Document identification (n</t>
    </r>
    <r>
      <rPr>
        <sz val="11"/>
        <color rgb="FFFF0000"/>
        <rFont val="Calibri"/>
        <family val="2"/>
        <scheme val="minor"/>
      </rPr>
      <t>ame/code, date/edition, etc.</t>
    </r>
    <r>
      <rPr>
        <sz val="11"/>
        <color indexed="8"/>
        <rFont val="Calibri"/>
        <family val="2"/>
        <scheme val="minor"/>
      </rPr>
      <t xml:space="preserve">) of example of animal welfare feedback from the post-harvest handling to grow-out stages: </t>
    </r>
    <r>
      <rPr>
        <sz val="11"/>
        <color rgb="FFFF0000"/>
        <rFont val="Calibri"/>
        <family val="2"/>
        <scheme val="minor"/>
      </rPr>
      <t>XXX</t>
    </r>
  </si>
  <si>
    <r>
      <t>Refer to item 11 of AHP (AQ 20.02.01).
If performed by subcontractors: 
Document identification (</t>
    </r>
    <r>
      <rPr>
        <sz val="11"/>
        <color rgb="FFFF0000"/>
        <rFont val="Calibri"/>
        <family val="2"/>
        <scheme val="minor"/>
      </rPr>
      <t>name/code, date/edition, etc</t>
    </r>
    <r>
      <rPr>
        <sz val="11"/>
        <color indexed="8"/>
        <rFont val="Calibri"/>
        <family val="2"/>
        <scheme val="minor"/>
      </rPr>
      <t>.) of stunning and killing procedures that considers animal welfare:</t>
    </r>
    <r>
      <rPr>
        <sz val="11"/>
        <color rgb="FFFF0000"/>
        <rFont val="Calibri"/>
        <family val="2"/>
        <scheme val="minor"/>
      </rPr>
      <t xml:space="preserve"> XXX</t>
    </r>
    <r>
      <rPr>
        <sz val="11"/>
        <color indexed="8"/>
        <rFont val="Calibri"/>
        <family val="2"/>
        <scheme val="minor"/>
      </rPr>
      <t xml:space="preserve">
</t>
    </r>
  </si>
  <si>
    <r>
      <t xml:space="preserve">Document identification  of training records on animal welfare, specific to the training for stunning and bleeding techniques (where applicable): 
</t>
    </r>
    <r>
      <rPr>
        <sz val="11"/>
        <color rgb="FFFF0000"/>
        <rFont val="Calibri"/>
        <family val="2"/>
        <scheme val="minor"/>
      </rPr>
      <t>document name:
code:
revision: 
date:
partecipant:
etc.</t>
    </r>
  </si>
  <si>
    <r>
      <t xml:space="preserve">Description of stunning methods. 
If ice slurry or asphyxia used as stunning methods, document identification of the plan to phase out from these practices:  </t>
    </r>
    <r>
      <rPr>
        <sz val="11"/>
        <color rgb="FFFF0000"/>
        <rFont val="Calibri"/>
        <family val="2"/>
        <scheme val="minor"/>
      </rPr>
      <t xml:space="preserve"> XXX</t>
    </r>
  </si>
  <si>
    <r>
      <t>Document identification (</t>
    </r>
    <r>
      <rPr>
        <sz val="11"/>
        <color rgb="FFFF0000"/>
        <rFont val="Calibri"/>
        <family val="2"/>
        <scheme val="minor"/>
      </rPr>
      <t>name/code, date/edition, etc.</t>
    </r>
    <r>
      <rPr>
        <sz val="11"/>
        <color indexed="8"/>
        <rFont val="Calibri"/>
        <family val="2"/>
        <scheme val="minor"/>
      </rPr>
      <t>) of stunning and killing procedures:</t>
    </r>
  </si>
  <si>
    <t>Refer to AQ 25.01.04 (equivalent to CoC-SC 6.10).</t>
  </si>
  <si>
    <r>
      <t>Document identification (</t>
    </r>
    <r>
      <rPr>
        <sz val="11"/>
        <color rgb="FFFF0000"/>
        <rFont val="Calibri"/>
        <family val="2"/>
        <scheme val="minor"/>
      </rPr>
      <t>name/code, date/edition, etc</t>
    </r>
    <r>
      <rPr>
        <sz val="11"/>
        <color indexed="8"/>
        <rFont val="Calibri"/>
        <family val="2"/>
        <scheme val="minor"/>
      </rPr>
      <t>.) of license to operate as a depuration station:
Document identification (name/code, date/edition, etc.) of the parameters used for the depuration linked to species and origin of respective batches:</t>
    </r>
    <r>
      <rPr>
        <sz val="11"/>
        <color rgb="FFFF0000"/>
        <rFont val="Calibri"/>
        <family val="2"/>
        <scheme val="minor"/>
      </rPr>
      <t>XXX</t>
    </r>
  </si>
  <si>
    <t>Site 1</t>
  </si>
  <si>
    <t>Site 2</t>
  </si>
  <si>
    <t>Site 3</t>
  </si>
  <si>
    <t>Site 4</t>
  </si>
  <si>
    <t>Site 5</t>
  </si>
  <si>
    <t>Site 6</t>
  </si>
  <si>
    <t>Site 7</t>
  </si>
  <si>
    <t>Site 8</t>
  </si>
  <si>
    <t>Site 9</t>
  </si>
  <si>
    <t>Site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</si>
</sst>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35" x14ac:knownFonts="1">
    <font>
      <sz val="11"/>
      <color indexed="8"/>
      <name val="Calibri"/>
      <family val="2"/>
      <scheme val="minor"/>
    </font>
    <font>
      <b/>
      <sz val="11"/>
      <color indexed="9"/>
      <name val="Calibri"/>
      <family val="2"/>
    </font>
    <font>
      <sz val="11"/>
      <color rgb="FFBE0006"/>
      <name val="Calibri"/>
      <family val="2"/>
    </font>
    <font>
      <sz val="11"/>
      <color rgb="FFBE5700"/>
      <name val="Calibri"/>
      <family val="2"/>
    </font>
    <font>
      <sz val="11"/>
      <color rgb="FF006100"/>
      <name val="Calibri"/>
      <family val="2"/>
    </font>
    <font>
      <sz val="11"/>
      <name val="Calibri"/>
      <family val="2"/>
    </font>
    <font>
      <b/>
      <sz val="11"/>
      <color rgb="FF9C5700"/>
      <name val="Calibri"/>
      <family val="2"/>
    </font>
    <font>
      <sz val="11"/>
      <color rgb="FFFF0000"/>
      <name val="Calibri"/>
      <family val="2"/>
      <scheme val="minor"/>
    </font>
    <font>
      <b/>
      <sz val="20"/>
      <color indexed="8"/>
      <name val="Calibri"/>
      <family val="2"/>
      <scheme val="minor"/>
    </font>
    <font>
      <sz val="20"/>
      <color indexed="8"/>
      <name val="Calibri"/>
      <family val="2"/>
      <scheme val="minor"/>
    </font>
    <font>
      <b/>
      <sz val="11"/>
      <color indexed="8"/>
      <name val="Calibri"/>
      <family val="2"/>
      <scheme val="minor"/>
    </font>
    <font>
      <sz val="11"/>
      <name val="Calibri"/>
      <family val="2"/>
    </font>
    <font>
      <sz val="9"/>
      <color indexed="81"/>
      <name val="Tahoma"/>
      <family val="2"/>
    </font>
    <font>
      <b/>
      <sz val="16"/>
      <color indexed="9"/>
      <name val="Calibri"/>
      <family val="2"/>
    </font>
    <font>
      <b/>
      <sz val="16"/>
      <color indexed="8"/>
      <name val="Calibri"/>
      <family val="2"/>
      <scheme val="minor"/>
    </font>
    <font>
      <b/>
      <sz val="12"/>
      <color indexed="8"/>
      <name val="Calibri"/>
      <family val="2"/>
      <scheme val="minor"/>
    </font>
    <font>
      <b/>
      <sz val="11"/>
      <name val="Calibri"/>
      <family val="2"/>
    </font>
    <font>
      <sz val="11"/>
      <color rgb="FF00B050"/>
      <name val="Calibri"/>
      <family val="2"/>
      <scheme val="minor"/>
    </font>
    <font>
      <sz val="11"/>
      <color rgb="FF0070C0"/>
      <name val="Calibri"/>
      <family val="2"/>
      <scheme val="minor"/>
    </font>
    <font>
      <sz val="11"/>
      <color rgb="FFED7D31"/>
      <name val="Calibri"/>
      <family val="2"/>
      <scheme val="minor"/>
    </font>
    <font>
      <b/>
      <sz val="11"/>
      <color indexed="12"/>
      <name val="Calibri"/>
      <family val="2"/>
    </font>
    <font>
      <b/>
      <sz val="11"/>
      <color indexed="53"/>
      <name val="Calibri"/>
      <family val="2"/>
    </font>
    <font>
      <b/>
      <sz val="11"/>
      <color indexed="10"/>
      <name val="Calibri"/>
      <family val="2"/>
    </font>
    <font>
      <b/>
      <sz val="14"/>
      <color indexed="8"/>
      <name val="Corbel"/>
      <family val="2"/>
    </font>
    <font>
      <b/>
      <sz val="12"/>
      <color indexed="8"/>
      <name val="Corbel"/>
      <family val="2"/>
    </font>
    <font>
      <sz val="11"/>
      <color indexed="8"/>
      <name val="Corbel"/>
      <family val="2"/>
    </font>
    <font>
      <b/>
      <sz val="11"/>
      <color indexed="8"/>
      <name val="Corbel"/>
      <family val="2"/>
    </font>
    <font>
      <sz val="11"/>
      <name val="Calibri"/>
      <family val="2"/>
      <scheme val="minor"/>
    </font>
    <font>
      <sz val="11"/>
      <color theme="9" tint="-0.249977111117893"/>
      <name val="Calibri"/>
      <family val="2"/>
      <scheme val="minor"/>
    </font>
    <font>
      <sz val="8"/>
      <name val="Arial"/>
      <family val="2"/>
    </font>
    <font>
      <sz val="8"/>
      <color rgb="FFFF0000"/>
      <name val="Arial"/>
      <family val="2"/>
    </font>
    <font>
      <sz val="8"/>
      <color theme="1"/>
      <name val="Arial"/>
      <family val="2"/>
    </font>
    <font>
      <sz val="8"/>
      <color rgb="FF000000"/>
      <name val="Arial"/>
      <family val="2"/>
    </font>
    <font>
      <strike/>
      <sz val="8"/>
      <color rgb="FF000000"/>
      <name val="Arial"/>
      <family val="2"/>
    </font>
    <font>
      <strike/>
      <sz val="8"/>
      <color theme="1"/>
      <name val="Arial"/>
      <family val="2"/>
    </font>
  </fonts>
  <fills count="14">
    <fill>
      <patternFill patternType="none"/>
    </fill>
    <fill>
      <patternFill patternType="gray125"/>
    </fill>
    <fill>
      <patternFill patternType="solid">
        <fgColor rgb="FFFFFFFF"/>
      </patternFill>
    </fill>
    <fill>
      <patternFill patternType="solid">
        <fgColor rgb="FF9BC2E6"/>
      </patternFill>
    </fill>
    <fill>
      <patternFill patternType="solid">
        <fgColor rgb="FF008630"/>
      </patternFill>
    </fill>
    <fill>
      <patternFill patternType="solid">
        <fgColor rgb="FF57574A"/>
      </patternFill>
    </fill>
    <fill>
      <patternFill patternType="solid">
        <fgColor rgb="FFFFC7CE"/>
      </patternFill>
    </fill>
    <fill>
      <patternFill patternType="solid">
        <fgColor rgb="FFFFFFCC"/>
      </patternFill>
    </fill>
    <fill>
      <patternFill patternType="solid">
        <fgColor rgb="FFC6EFCE"/>
      </patternFill>
    </fill>
    <fill>
      <patternFill patternType="solid">
        <fgColor rgb="FFE2EFDA"/>
      </patternFill>
    </fill>
    <fill>
      <patternFill patternType="solid">
        <fgColor rgb="FFFFEB9C"/>
      </patternFill>
    </fill>
    <fill>
      <patternFill patternType="solid">
        <fgColor rgb="FFFFDB43"/>
      </patternFill>
    </fill>
    <fill>
      <patternFill patternType="solid">
        <fgColor rgb="FFEEC100"/>
      </patternFill>
    </fill>
    <fill>
      <patternFill patternType="solid">
        <fgColor rgb="FFEDEDED"/>
      </patternFill>
    </fill>
  </fills>
  <borders count="3">
    <border>
      <left/>
      <right/>
      <top/>
      <bottom/>
      <diagonal/>
    </border>
    <border>
      <left style="thin">
        <color indexed="55"/>
      </left>
      <right style="thin">
        <color indexed="55"/>
      </right>
      <top style="thin">
        <color indexed="55"/>
      </top>
      <bottom style="thin">
        <color indexed="55"/>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4">
    <xf numFmtId="0" fontId="0" fillId="0" borderId="0" xfId="0"/>
    <xf numFmtId="0" fontId="5" fillId="0" borderId="0" xfId="0" applyFont="1" applyAlignment="1" applyProtection="1">
      <alignment vertical="center" wrapText="1"/>
      <protection locked="0"/>
    </xf>
    <xf numFmtId="0" fontId="0" fillId="0" borderId="0" xfId="0" applyProtection="1">
      <protection locked="0"/>
    </xf>
    <xf numFmtId="0" fontId="11" fillId="0" borderId="0" xfId="0" applyFont="1" applyAlignment="1" applyProtection="1">
      <alignment vertical="center" wrapText="1"/>
      <protection locked="0"/>
    </xf>
    <xf numFmtId="14" fontId="0" fillId="0" borderId="0" xfId="0" applyNumberFormat="1" applyAlignment="1" applyProtection="1">
      <alignment vertical="center"/>
      <protection locked="0"/>
    </xf>
    <xf numFmtId="0" fontId="15" fillId="0" borderId="0" xfId="0" applyFont="1" applyProtection="1">
      <protection locked="0"/>
    </xf>
    <xf numFmtId="0" fontId="24" fillId="0" borderId="0" xfId="0" applyFont="1" applyProtection="1">
      <protection locked="0"/>
    </xf>
    <xf numFmtId="0" fontId="25" fillId="0" borderId="0" xfId="0" applyFont="1" applyProtection="1">
      <protection locked="0"/>
    </xf>
    <xf numFmtId="0" fontId="1" fillId="4" borderId="0" xfId="0" applyFont="1" applyFill="1" applyProtection="1">
      <protection locked="0"/>
    </xf>
    <xf numFmtId="0" fontId="0" fillId="3" borderId="1" xfId="0" applyFill="1" applyBorder="1" applyAlignment="1" applyProtection="1">
      <alignment vertical="center"/>
      <protection locked="0"/>
    </xf>
    <xf numFmtId="0" fontId="0" fillId="9" borderId="1" xfId="0" applyFill="1" applyBorder="1" applyAlignment="1" applyProtection="1">
      <alignment vertical="center" wrapText="1"/>
      <protection locked="0"/>
    </xf>
    <xf numFmtId="0" fontId="26" fillId="0" borderId="2" xfId="0" applyFont="1" applyBorder="1"/>
    <xf numFmtId="0" fontId="25" fillId="0" borderId="2" xfId="0" applyFont="1" applyBorder="1"/>
    <xf numFmtId="0" fontId="10" fillId="0" borderId="0" xfId="0" applyFont="1" applyAlignment="1">
      <alignment vertical="center"/>
    </xf>
    <xf numFmtId="0" fontId="0" fillId="0" borderId="0" xfId="0" applyAlignment="1">
      <alignment vertical="center"/>
    </xf>
    <xf numFmtId="0" fontId="17"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7" fillId="0" borderId="0" xfId="0" applyFont="1" applyAlignment="1">
      <alignment vertical="center"/>
    </xf>
    <xf numFmtId="0" fontId="20" fillId="0" borderId="0" xfId="0" applyFont="1"/>
    <xf numFmtId="0" fontId="16" fillId="2" borderId="0" xfId="0" applyFont="1" applyFill="1"/>
    <xf numFmtId="0" fontId="21" fillId="0" borderId="0" xfId="0" applyFont="1"/>
    <xf numFmtId="0" fontId="22" fillId="0" borderId="0" xfId="0" applyFont="1"/>
    <xf numFmtId="49" fontId="0" fillId="0" borderId="0" xfId="0" applyNumberFormat="1"/>
    <xf numFmtId="0" fontId="6" fillId="10" borderId="0" xfId="0" applyFont="1" applyFill="1" applyAlignment="1">
      <alignment vertical="center" wrapText="1"/>
    </xf>
    <xf numFmtId="0" fontId="5" fillId="0" borderId="0" xfId="0" applyFont="1" applyAlignment="1">
      <alignment vertical="center" wrapText="1"/>
    </xf>
    <xf numFmtId="14" fontId="0" fillId="0" borderId="0" xfId="0" applyNumberFormat="1"/>
    <xf numFmtId="164" fontId="0" fillId="0" borderId="0" xfId="0" applyNumberFormat="1" applyAlignment="1">
      <alignment horizontal="right" vertical="center"/>
    </xf>
    <xf numFmtId="0" fontId="14" fillId="0" borderId="0" xfId="0" applyFont="1" applyAlignment="1">
      <alignment wrapText="1"/>
    </xf>
    <xf numFmtId="0" fontId="13" fillId="4" borderId="0" xfId="0" applyFont="1" applyFill="1" applyAlignment="1">
      <alignment wrapText="1"/>
    </xf>
    <xf numFmtId="0" fontId="16" fillId="13" borderId="1" xfId="0" applyFont="1" applyFill="1" applyBorder="1" applyAlignment="1">
      <alignment vertical="center" wrapText="1"/>
    </xf>
    <xf numFmtId="0" fontId="8" fillId="0" borderId="0" xfId="0" applyFont="1"/>
    <xf numFmtId="0" fontId="9" fillId="0" borderId="0" xfId="0" applyFont="1"/>
    <xf numFmtId="0" fontId="10" fillId="0" borderId="0" xfId="0" applyFont="1"/>
    <xf numFmtId="0" fontId="6" fillId="11" borderId="0" xfId="0" applyFont="1" applyFill="1" applyAlignment="1">
      <alignment vertical="center" wrapText="1"/>
    </xf>
    <xf numFmtId="0" fontId="6" fillId="12" borderId="0" xfId="0" applyFont="1" applyFill="1" applyAlignment="1">
      <alignment vertical="center" wrapText="1"/>
    </xf>
    <xf numFmtId="49" fontId="0" fillId="0" borderId="0" xfId="0" applyNumberFormat="1" applyAlignment="1" applyProtection="1">
      <alignment vertical="center"/>
      <protection locked="0"/>
    </xf>
    <xf numFmtId="0" fontId="14" fillId="0" borderId="0" xfId="0" applyFont="1"/>
    <xf numFmtId="49" fontId="0" fillId="0" borderId="0" xfId="0" applyNumberFormat="1" applyAlignment="1">
      <alignment vertical="center"/>
    </xf>
    <xf numFmtId="0" fontId="0" fillId="3" borderId="0" xfId="0" applyFill="1"/>
    <xf numFmtId="0" fontId="13" fillId="4" borderId="0" xfId="0" applyFont="1" applyFill="1"/>
    <xf numFmtId="0" fontId="1" fillId="4" borderId="0" xfId="0" applyFont="1" applyFill="1"/>
    <xf numFmtId="0" fontId="6" fillId="10" borderId="0" xfId="0" applyFont="1" applyFill="1"/>
    <xf numFmtId="49" fontId="0" fillId="0" borderId="0" xfId="0" applyNumberFormat="1" applyAlignment="1">
      <alignment vertical="center" wrapText="1"/>
    </xf>
    <xf numFmtId="0" fontId="2" fillId="6" borderId="0" xfId="0" applyFont="1" applyFill="1" applyAlignment="1">
      <alignment vertical="center"/>
    </xf>
    <xf numFmtId="0" fontId="3" fillId="7" borderId="0" xfId="0" applyFont="1" applyFill="1" applyAlignment="1">
      <alignment vertical="center"/>
    </xf>
    <xf numFmtId="0" fontId="4" fillId="8" borderId="0" xfId="0" applyFont="1" applyFill="1" applyAlignment="1">
      <alignment vertical="center"/>
    </xf>
    <xf numFmtId="0" fontId="0" fillId="9" borderId="1" xfId="0" applyFill="1" applyBorder="1" applyAlignment="1">
      <alignment vertical="center" wrapText="1"/>
    </xf>
    <xf numFmtId="0" fontId="6" fillId="10" borderId="0" xfId="0" applyFont="1" applyFill="1" applyProtection="1">
      <protection locked="0"/>
    </xf>
    <xf numFmtId="0" fontId="6" fillId="10" borderId="0" xfId="0" applyFont="1" applyFill="1" applyAlignment="1">
      <alignment horizontal="center" vertical="center"/>
    </xf>
    <xf numFmtId="0" fontId="6" fillId="10" borderId="0" xfId="0" applyFont="1" applyFill="1" applyAlignment="1">
      <alignment horizontal="center" vertical="center" wrapText="1"/>
    </xf>
    <xf numFmtId="0" fontId="1" fillId="5" borderId="0" xfId="0" applyFont="1" applyFill="1"/>
    <xf numFmtId="0" fontId="0" fillId="0" borderId="0" xfId="0"/>
    <xf numFmtId="0" fontId="23"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88900</xdr:rowOff>
    </xdr:from>
    <xdr:to>
      <xdr:col>17</xdr:col>
      <xdr:colOff>0</xdr:colOff>
      <xdr:row>50</xdr:row>
      <xdr:rowOff>38100</xdr:rowOff>
    </xdr:to>
    <xdr:sp macro="" textlink="">
      <xdr:nvSpPr>
        <xdr:cNvPr id="2" name="TextBox 1">
          <a:extLst>
            <a:ext uri="{FF2B5EF4-FFF2-40B4-BE49-F238E27FC236}">
              <a16:creationId xmlns:a16="http://schemas.microsoft.com/office/drawing/2014/main" id="{331BDA4F-884D-450B-B7A3-6B78ADF4C271}"/>
            </a:ext>
          </a:extLst>
        </xdr:cNvPr>
        <xdr:cNvSpPr txBox="1"/>
      </xdr:nvSpPr>
      <xdr:spPr>
        <a:xfrm>
          <a:off x="19050" y="88900"/>
          <a:ext cx="10344150" cy="9474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dk1"/>
              </a:solidFill>
              <a:effectLst/>
              <a:latin typeface="+mn-lt"/>
              <a:ea typeface="+mn-ea"/>
              <a:cs typeface="+mn-cs"/>
            </a:rPr>
            <a:t>The aim of this guideline is to define the audit method and minimum requirements for comments (justifications) to be recorded by the certification body (CB) auditors and internal farm auditors to create an audit trail (i.e., to make it possible to comprehend what was observed during the audit). Furthermore, it aims to establish consistent reporting among all CBs around the world.</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This guideline is mandatory for CB auditors and internal farm auditors and takes precedence over the GLOBALG.A.P. General Regulations. This guideline shall also be used for the internal farm audits of Option 2 producer groups and/or Option 1 multisite producers with a quality management system (QMS) and may also be used for self-assessments conducted by Option 1 producers without a QMS. </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As required by the GLOBALG.A.P. General Regulations – rules for CBs, all Major Must and all non-compliant and not applicable Minor Must principles and criteria (P&amp;Cs) shall have comments recorded in the checklist by the CB auditor or the internal farm auditor if no specific guideline specifies otherwise. Recommendations do not require comments. In this guideline, GLOBALG.A.P. specifies the list of P&amp;Cs that require comments and examples of those comments that – at a minimum – shall be recorded regardless of the above (all Major Must and non-compliant or not applicable Minor Must P&amp;Cs).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minimum comments requested of the CB auditors can be recorded in two different locations: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 Justification guidelines (visible to producers)</a:t>
          </a:r>
        </a:p>
        <a:p>
          <a:r>
            <a:rPr lang="en-GB" sz="1100">
              <a:solidFill>
                <a:schemeClr val="dk1"/>
              </a:solidFill>
              <a:effectLst/>
              <a:latin typeface="+mn-lt"/>
              <a:ea typeface="+mn-ea"/>
              <a:cs typeface="+mn-cs"/>
            </a:rPr>
            <a:t>• Justification guidelines (visible only to the CB and the GLOBALG.A.P. Secretariat)</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Comments entered in the ‘‘ visible to producers‘‘ section are visible to everyone because no sensitive information (e.g., names) is recorded in them.</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Comments in the ‚‘‘ visible only to the CB and the GLOBALG.A.P. Secretariat‘‘ section include more specific information (e.g., names of workers, commercially sensitive information) that will only be available to the respective CB and the GLOBALG.A.P. Secretariat.</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Comments do not need to be repeated in both locations.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Major Must P&amp;Cs without any description under the "Inspection method explanation" column do not require comments in case of compliance (“YES”).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Comments are also required for some Minor Must P&amp;Cs, even if the answer is “YES.” It is not mandatory to record comments for all the other Minor Must P&amp;Cs if the answer is “YES” or to use the examples exactly as they are given, as long as the audit trail can be followed, and it has been clearly demonstrated that all production sites for all registered products included in the scope of certification have been audited.</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All non-compliant Major Must and Minor Must principles and criteria (P&amp;Cs) shall have comments.</a:t>
          </a: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For all P&amp;Cs that permit evidence to be recorded per crop grouping, the audit shall still be conducted for all registered products to verify compliance with the applicable requirements, as stated in the GLOBALG.A.P. General Regulations.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“Method” column highlights the main aspects to be checked for each P&amp;C and a symbol describes how to check them:</a:t>
          </a:r>
        </a:p>
        <a:p>
          <a:endParaRPr lang="en-GB" sz="1100">
            <a:solidFill>
              <a:schemeClr val="dk1"/>
            </a:solidFill>
            <a:effectLst/>
            <a:latin typeface="+mn-lt"/>
            <a:ea typeface="+mn-ea"/>
            <a:cs typeface="+mn-cs"/>
          </a:endParaRPr>
        </a:p>
        <a:p>
          <a:r>
            <a:rPr lang="en-GB" sz="1100">
              <a:solidFill>
                <a:srgbClr val="00B050"/>
              </a:solidFill>
              <a:effectLst/>
              <a:latin typeface="+mn-lt"/>
              <a:ea typeface="+mn-ea"/>
              <a:cs typeface="+mn-cs"/>
            </a:rPr>
            <a:t>V – visual assessment </a:t>
          </a:r>
        </a:p>
        <a:p>
          <a:endParaRPr lang="en-GB" sz="1100">
            <a:solidFill>
              <a:schemeClr val="dk1"/>
            </a:solidFill>
            <a:effectLst/>
            <a:latin typeface="+mn-lt"/>
            <a:ea typeface="+mn-ea"/>
            <a:cs typeface="+mn-cs"/>
          </a:endParaRPr>
        </a:p>
        <a:p>
          <a:r>
            <a:rPr lang="en-GB" sz="1100">
              <a:solidFill>
                <a:srgbClr val="00B0F0"/>
              </a:solidFill>
              <a:effectLst/>
              <a:latin typeface="+mn-lt"/>
              <a:ea typeface="+mn-ea"/>
              <a:cs typeface="+mn-cs"/>
            </a:rPr>
            <a:t>I  –  interview personnel</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D – records or document review</a:t>
          </a:r>
        </a:p>
        <a:p>
          <a:endParaRPr lang="en-GB" sz="1100">
            <a:solidFill>
              <a:schemeClr val="dk1"/>
            </a:solidFill>
            <a:effectLst/>
            <a:latin typeface="+mn-lt"/>
            <a:ea typeface="+mn-ea"/>
            <a:cs typeface="+mn-cs"/>
          </a:endParaRPr>
        </a:p>
        <a:p>
          <a:r>
            <a:rPr lang="en-GB" sz="1100">
              <a:solidFill>
                <a:schemeClr val="accent2"/>
              </a:solidFill>
              <a:effectLst/>
              <a:latin typeface="+mn-lt"/>
              <a:ea typeface="+mn-ea"/>
              <a:cs typeface="+mn-cs"/>
            </a:rPr>
            <a:t>X – cross-checking data and information, verifying data, linking records with each other and confirming their accuracy</a:t>
          </a:r>
        </a:p>
        <a:p>
          <a:endParaRPr lang="en-GB" sz="1100">
            <a:solidFill>
              <a:schemeClr val="dk1"/>
            </a:solidFill>
            <a:effectLst/>
            <a:latin typeface="+mn-lt"/>
            <a:ea typeface="+mn-ea"/>
            <a:cs typeface="+mn-cs"/>
          </a:endParaRPr>
        </a:p>
        <a:p>
          <a:r>
            <a:rPr lang="en-GB" sz="1100">
              <a:solidFill>
                <a:srgbClr val="FF0000"/>
              </a:solidFill>
              <a:effectLst/>
              <a:latin typeface="+mn-lt"/>
              <a:ea typeface="+mn-ea"/>
              <a:cs typeface="+mn-cs"/>
            </a:rPr>
            <a:t>C – challenging the content and plausibility of the information (e.g., when checking the risk assessments)</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The CB farm auditor/internal farm auditor shall not be restricted to the described methods and may use other methods. Evidence (justifications) may be collected by taking pictures of the records, premises, documents, etc. When taking pictures as evidence, the CB shall keep evidence of signed approval from the auditees and the pictures shall be linked to the applicable P&amp;Cs.</a:t>
          </a:r>
        </a:p>
        <a:p>
          <a:endParaRPr lang="en-GB" sz="1100"/>
        </a:p>
      </xdr:txBody>
    </xdr:sp>
    <xdr:clientData/>
  </xdr:twoCellAnchor>
  <xdr:twoCellAnchor>
    <xdr:from>
      <xdr:col>0</xdr:col>
      <xdr:colOff>19050</xdr:colOff>
      <xdr:row>0</xdr:row>
      <xdr:rowOff>88900</xdr:rowOff>
    </xdr:from>
    <xdr:to>
      <xdr:col>17</xdr:col>
      <xdr:colOff>0</xdr:colOff>
      <xdr:row>50</xdr:row>
      <xdr:rowOff>38100</xdr:rowOff>
    </xdr:to>
    <xdr:sp macro="" textlink="">
      <xdr:nvSpPr>
        <xdr:cNvPr id="3" name="TextBox 2">
          <a:extLst>
            <a:ext uri="{FF2B5EF4-FFF2-40B4-BE49-F238E27FC236}">
              <a16:creationId xmlns:a16="http://schemas.microsoft.com/office/drawing/2014/main" id="{41D1254B-B2F8-4FCE-AB8A-852B789BBF6F}"/>
            </a:ext>
            <a:ext uri="{147F2762-F138-4A5C-976F-8EAC2B608ADB}">
              <a16:predDERef xmlns:a16="http://schemas.microsoft.com/office/drawing/2014/main" pred="{25442D4F-EA26-4B88-90EF-C796D0D8F72C}"/>
            </a:ext>
          </a:extLst>
        </xdr:cNvPr>
        <xdr:cNvSpPr txBox="1"/>
      </xdr:nvSpPr>
      <xdr:spPr>
        <a:xfrm>
          <a:off x="19050" y="88900"/>
          <a:ext cx="10344150" cy="9474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chemeClr val="dk1"/>
              </a:solidFill>
              <a:latin typeface="+mn-lt"/>
              <a:ea typeface="+mn-lt"/>
              <a:cs typeface="+mn-lt"/>
            </a:rPr>
            <a:t>The aim of this guideline is to define the audit method and minimum requirements for comments (justifications) to be recorded by the certification body (CB) auditors and internal farm auditors to create an audit trail (i.e., to make it possible to comprehend what was observed during the audit). Furthermore, it aims to establish consistent reporting among all CBs around the world.</a:t>
          </a:r>
        </a:p>
        <a:p>
          <a:pPr marL="0" indent="0"/>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This guideline is mandatory for CB auditors and internal farm auditors and takes precedence over the GLOBALG.A.P. General Regulations. This guideline shall also be used for the internal farm audits of Option 2 producer groups and/or Option 1 multisite producers with a quality management system (QMS) and may also be used for self-assessments conducted by Option 1 producers without a QMS. </a:t>
          </a:r>
        </a:p>
        <a:p>
          <a:pPr marL="0" indent="0"/>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As required by the GLOBALG.A.P. General Regulations – rules for CBs, all Major Must and all non-compliant and not applicable Minor Must principles and criteria (P&amp;Cs) shall have comments recorded in the checklist by the CB auditor or the internal farm auditor if no specific guideline specifies otherwise. Recommendations do not require comments. In this guideline, GLOBALG.A.P. specifies the list of P&amp;Cs that require comments and examples of those comments that – at a minimum – shall be recorded regardless of the above (all Major Must and non-compliant or not applicable Minor Must P&amp;Cs).</a:t>
          </a:r>
        </a:p>
        <a:p>
          <a:pPr marL="0" indent="0"/>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The minimum comments requested of the CB auditors can be recorded in two different locations:</a:t>
          </a:r>
        </a:p>
        <a:p>
          <a:pPr marL="0" indent="0"/>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 Justification guidelines (visible to producers)</a:t>
          </a:r>
        </a:p>
        <a:p>
          <a:pPr marL="0" indent="0"/>
          <a:r>
            <a:rPr lang="en-US" sz="1100">
              <a:solidFill>
                <a:schemeClr val="dk1"/>
              </a:solidFill>
              <a:latin typeface="+mn-lt"/>
              <a:ea typeface="+mn-lt"/>
              <a:cs typeface="+mn-lt"/>
            </a:rPr>
            <a:t>• Justification guidelines (visible only to the CB and the GLOBALG.A.P. Secretariat)</a:t>
          </a:r>
        </a:p>
        <a:p>
          <a:pPr marL="0" indent="0"/>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Comments entered in the ‘‘ visible to producers‘‘ section are visible to everyone because no sensitive information (e.g., names) is recorded in them.</a:t>
          </a:r>
        </a:p>
        <a:p>
          <a:pPr marL="0" indent="0"/>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Comments in the ‚‘‘ visible only to the CB and the GLOBALG.A.P. Secretariat‘‘ section include more specific information (e.g., names of workers, commercially sensitive information) that will only be available to the respective CB and the GLOBALG.A.P. Secretariat.</a:t>
          </a:r>
        </a:p>
        <a:p>
          <a:pPr marL="0" indent="0"/>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Comments do not need to be repeated in both locations.</a:t>
          </a:r>
        </a:p>
        <a:p>
          <a:pPr marL="0" indent="0"/>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Major Must P&amp;Cs without any description under the "Inspection method explanation" column do not require comments in case of compliance (“YES”).</a:t>
          </a:r>
        </a:p>
        <a:p>
          <a:pPr marL="0" indent="0"/>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Comments are also required for some Minor Must P&amp;Cs, even if the answer is “YES.” It is not mandatory to record comments for all the other Minor Must P&amp;Cs if the answer is “YES” or to use the examples exactly as they are given, as long as the audit trail can be followed, and it has been clearly demonstrated that all production sites for all registered products included in the scope of certification have been audited.</a:t>
          </a:r>
        </a:p>
        <a:p>
          <a:pPr marL="0" indent="0"/>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All non-compliant Major Must and Minor Must principles and criteria (P&amp;Cs) shall have comments.</a:t>
          </a:r>
        </a:p>
        <a:p>
          <a:pPr marL="0" indent="0"/>
          <a:r>
            <a:rPr lang="en-US" sz="1100">
              <a:solidFill>
                <a:schemeClr val="dk1"/>
              </a:solidFill>
              <a:latin typeface="+mn-lt"/>
              <a:ea typeface="+mn-lt"/>
              <a:cs typeface="+mn-lt"/>
            </a:rPr>
            <a:t> </a:t>
          </a:r>
        </a:p>
        <a:p>
          <a:pPr marL="0" indent="0"/>
          <a:r>
            <a:rPr lang="en-US" sz="1100">
              <a:solidFill>
                <a:schemeClr val="dk1"/>
              </a:solidFill>
              <a:latin typeface="+mn-lt"/>
              <a:ea typeface="+mn-lt"/>
              <a:cs typeface="+mn-lt"/>
            </a:rPr>
            <a:t>For all P&amp;Cs that permit evidence to be recorded per crop grouping, the audit shall still be conducted for all registered products to verify compliance with the applicable requirements, as stated in the GLOBALG.A.P. General Regulations.</a:t>
          </a:r>
        </a:p>
        <a:p>
          <a:pPr marL="0" indent="0"/>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The “Method” column highlights the main aspects to be checked for each P&amp;C and a symbol describes how to check them:</a:t>
          </a:r>
        </a:p>
        <a:p>
          <a:pPr marL="0" indent="0"/>
          <a:endParaRPr lang="en-US" sz="1100">
            <a:solidFill>
              <a:srgbClr val="00B050"/>
            </a:solidFill>
            <a:latin typeface="+mn-lt"/>
            <a:ea typeface="+mn-lt"/>
            <a:cs typeface="+mn-lt"/>
          </a:endParaRPr>
        </a:p>
        <a:p>
          <a:pPr marL="0" indent="0"/>
          <a:r>
            <a:rPr lang="en-US" sz="1100">
              <a:solidFill>
                <a:srgbClr val="00B050"/>
              </a:solidFill>
              <a:latin typeface="+mn-lt"/>
              <a:ea typeface="+mn-lt"/>
              <a:cs typeface="+mn-lt"/>
            </a:rPr>
            <a:t>V – visual assessment </a:t>
          </a:r>
          <a:endParaRPr lang="en-US" sz="1100">
            <a:solidFill>
              <a:schemeClr val="dk1"/>
            </a:solidFill>
            <a:latin typeface="+mn-lt"/>
            <a:ea typeface="+mn-lt"/>
            <a:cs typeface="+mn-lt"/>
          </a:endParaRPr>
        </a:p>
        <a:p>
          <a:pPr marL="0" indent="0"/>
          <a:endParaRPr lang="en-US" sz="1100">
            <a:solidFill>
              <a:srgbClr val="00B0F0"/>
            </a:solidFill>
            <a:latin typeface="+mn-lt"/>
            <a:ea typeface="+mn-lt"/>
            <a:cs typeface="+mn-lt"/>
          </a:endParaRPr>
        </a:p>
        <a:p>
          <a:pPr marL="0" indent="0"/>
          <a:r>
            <a:rPr lang="en-US" sz="1100">
              <a:solidFill>
                <a:srgbClr val="00B0F0"/>
              </a:solidFill>
              <a:latin typeface="+mn-lt"/>
              <a:ea typeface="+mn-lt"/>
              <a:cs typeface="+mn-lt"/>
            </a:rPr>
            <a:t>I  –  interview personnel</a:t>
          </a:r>
          <a:endParaRPr lang="en-US" sz="1100">
            <a:solidFill>
              <a:schemeClr val="dk1"/>
            </a:solidFill>
            <a:latin typeface="+mn-lt"/>
            <a:ea typeface="+mn-lt"/>
            <a:cs typeface="+mn-lt"/>
          </a:endParaRPr>
        </a:p>
        <a:p>
          <a:pPr marL="0" indent="0"/>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D – records or document review</a:t>
          </a:r>
        </a:p>
        <a:p>
          <a:pPr marL="0" indent="0"/>
          <a:endParaRPr lang="en-US" sz="1100">
            <a:solidFill>
              <a:schemeClr val="accent2"/>
            </a:solidFill>
            <a:latin typeface="+mn-lt"/>
            <a:ea typeface="+mn-lt"/>
            <a:cs typeface="+mn-lt"/>
          </a:endParaRPr>
        </a:p>
        <a:p>
          <a:pPr marL="0" indent="0"/>
          <a:r>
            <a:rPr lang="en-US" sz="1100">
              <a:solidFill>
                <a:schemeClr val="accent2"/>
              </a:solidFill>
              <a:latin typeface="+mn-lt"/>
              <a:ea typeface="+mn-lt"/>
              <a:cs typeface="+mn-lt"/>
            </a:rPr>
            <a:t>X – cross-checking data and information, verifying data, linking records with each other and confirming their accuracy</a:t>
          </a:r>
          <a:endParaRPr lang="en-US" sz="1100">
            <a:solidFill>
              <a:schemeClr val="dk1"/>
            </a:solidFill>
            <a:latin typeface="+mn-lt"/>
            <a:ea typeface="+mn-lt"/>
            <a:cs typeface="+mn-lt"/>
          </a:endParaRPr>
        </a:p>
        <a:p>
          <a:pPr marL="0" indent="0"/>
          <a:endParaRPr lang="en-US" sz="1100">
            <a:solidFill>
              <a:srgbClr val="FF0000"/>
            </a:solidFill>
            <a:latin typeface="+mn-lt"/>
            <a:ea typeface="+mn-lt"/>
            <a:cs typeface="+mn-lt"/>
          </a:endParaRPr>
        </a:p>
        <a:p>
          <a:pPr marL="0" indent="0"/>
          <a:r>
            <a:rPr lang="en-US" sz="1100">
              <a:solidFill>
                <a:srgbClr val="FF0000"/>
              </a:solidFill>
              <a:latin typeface="+mn-lt"/>
              <a:ea typeface="+mn-lt"/>
              <a:cs typeface="+mn-lt"/>
            </a:rPr>
            <a:t>C – challenging the content and plausibility of the information (e.g., when checking the risk assessments)</a:t>
          </a:r>
          <a:endParaRPr lang="en-US" sz="1100">
            <a:solidFill>
              <a:schemeClr val="dk1"/>
            </a:solidFill>
            <a:latin typeface="+mn-lt"/>
            <a:ea typeface="+mn-lt"/>
            <a:cs typeface="+mn-lt"/>
          </a:endParaRPr>
        </a:p>
        <a:p>
          <a:pPr marL="0" indent="0"/>
          <a:endParaRPr lang="en-US" sz="1100">
            <a:solidFill>
              <a:schemeClr val="dk1"/>
            </a:solidFill>
            <a:latin typeface="+mn-lt"/>
            <a:ea typeface="+mn-lt"/>
            <a:cs typeface="+mn-lt"/>
          </a:endParaRPr>
        </a:p>
        <a:p>
          <a:pPr marL="0" indent="0"/>
          <a:r>
            <a:rPr lang="en-US" sz="1100">
              <a:solidFill>
                <a:schemeClr val="dk1"/>
              </a:solidFill>
              <a:latin typeface="+mn-lt"/>
              <a:ea typeface="+mn-lt"/>
              <a:cs typeface="+mn-lt"/>
            </a:rPr>
            <a:t>The CB farm auditor/internal farm auditor shall not be restricted to the described methods and may use other methods. Evidence (justifications) may be collected by taking pictures of the records, premises, documents, etc. When taking pictures as evidence, the CB shall keep evidence of signed approval from the auditees and the pictures shall be linked to the applicable P&amp;Cs.</a:t>
          </a:r>
        </a:p>
        <a:p>
          <a:pPr marL="0" indent="0"/>
          <a:endParaRPr lang="en-US" sz="1100">
            <a:solidFill>
              <a:schemeClr val="dk1"/>
            </a:solidFill>
            <a:latin typeface="+mn-lt"/>
            <a:ea typeface="+mn-lt"/>
            <a:cs typeface="+mn-lt"/>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
  <sheetViews>
    <sheetView zoomScale="90" zoomScaleNormal="90" workbookViewId="0">
      <pane ySplit="6" topLeftCell="A7" activePane="bottomLeft" state="frozen"/>
      <selection pane="bottomLeft" activeCell="G8" sqref="G8"/>
    </sheetView>
  </sheetViews>
  <sheetFormatPr defaultColWidth="9.109375" defaultRowHeight="14.4" x14ac:dyDescent="0.3"/>
  <cols>
    <col min="1" max="1" width="25.109375" style="2" customWidth="1" collapsed="1"/>
    <col min="2" max="2" width="29" style="2" customWidth="1" collapsed="1"/>
    <col min="3" max="17" width="25.109375" style="2" customWidth="1" collapsed="1"/>
    <col min="18" max="18" width="25.109375" style="2" customWidth="1"/>
    <col min="19" max="21" width="25.109375" style="2" customWidth="1" collapsed="1"/>
    <col min="22" max="16384" width="9.109375" style="2"/>
  </cols>
  <sheetData>
    <row r="1" spans="1:21" ht="25.8" x14ac:dyDescent="0.5">
      <c r="A1" s="31" t="s">
        <v>0</v>
      </c>
      <c r="B1" s="32"/>
      <c r="C1"/>
      <c r="D1"/>
      <c r="E1"/>
    </row>
    <row r="2" spans="1:21" x14ac:dyDescent="0.3">
      <c r="A2" s="33" t="s">
        <v>1</v>
      </c>
      <c r="B2" s="33" t="s">
        <v>2</v>
      </c>
      <c r="C2"/>
      <c r="D2"/>
    </row>
    <row r="3" spans="1:21" x14ac:dyDescent="0.3">
      <c r="A3" s="8" t="s">
        <v>3</v>
      </c>
      <c r="B3" s="8"/>
      <c r="C3" s="8"/>
      <c r="D3" s="8"/>
      <c r="E3" s="8" t="s">
        <v>4</v>
      </c>
      <c r="F3" s="8"/>
      <c r="G3" s="8"/>
      <c r="H3" s="8"/>
      <c r="I3" s="8"/>
      <c r="J3" s="8"/>
      <c r="K3" s="8"/>
      <c r="L3" s="8"/>
      <c r="M3" s="8"/>
      <c r="N3" s="8"/>
      <c r="O3" s="8"/>
      <c r="P3" s="8"/>
      <c r="Q3" s="8"/>
      <c r="R3" s="8"/>
      <c r="S3" s="8"/>
      <c r="T3" s="8"/>
      <c r="U3" s="8"/>
    </row>
    <row r="4" spans="1:21" x14ac:dyDescent="0.3">
      <c r="A4" s="8" t="s">
        <v>5</v>
      </c>
      <c r="B4" s="8"/>
      <c r="C4" s="8"/>
      <c r="D4" s="8"/>
      <c r="E4" s="8" t="s">
        <v>6</v>
      </c>
      <c r="F4" s="8"/>
      <c r="G4" s="8"/>
      <c r="H4" s="8"/>
      <c r="I4" s="8"/>
      <c r="J4" s="8"/>
      <c r="K4" s="8"/>
      <c r="L4" s="8"/>
      <c r="M4" s="8"/>
      <c r="N4" s="8"/>
      <c r="O4" s="8"/>
      <c r="P4" s="8"/>
      <c r="Q4" s="8"/>
      <c r="R4" s="8"/>
      <c r="S4" s="8"/>
      <c r="T4" s="8"/>
      <c r="U4" s="8"/>
    </row>
    <row r="5" spans="1:21" ht="24" customHeight="1" x14ac:dyDescent="0.3">
      <c r="A5" s="8" t="s">
        <v>7</v>
      </c>
      <c r="B5" s="8" t="s">
        <v>8</v>
      </c>
      <c r="C5" s="8"/>
      <c r="D5" s="8"/>
      <c r="E5" s="8"/>
      <c r="F5" s="8"/>
      <c r="G5" s="8"/>
      <c r="H5" s="8"/>
      <c r="I5" s="8"/>
      <c r="J5" s="8"/>
      <c r="K5" s="8"/>
      <c r="L5" s="8"/>
      <c r="M5" s="8"/>
      <c r="N5" s="8"/>
      <c r="O5" s="8"/>
      <c r="P5" s="8"/>
      <c r="Q5" s="8"/>
      <c r="R5" s="8"/>
      <c r="S5" s="8"/>
      <c r="T5" s="8"/>
      <c r="U5" s="8"/>
    </row>
    <row r="6" spans="1:21" ht="28.8" x14ac:dyDescent="0.3">
      <c r="A6" s="24" t="s">
        <v>9</v>
      </c>
      <c r="B6" s="24" t="s">
        <v>10</v>
      </c>
      <c r="C6" s="24" t="s">
        <v>11</v>
      </c>
      <c r="D6" s="34" t="s">
        <v>12</v>
      </c>
      <c r="E6" s="34" t="s">
        <v>13</v>
      </c>
      <c r="F6" s="34" t="s">
        <v>14</v>
      </c>
      <c r="G6" s="35" t="s">
        <v>15</v>
      </c>
      <c r="H6" s="35" t="s">
        <v>16</v>
      </c>
      <c r="I6" s="35" t="s">
        <v>17</v>
      </c>
      <c r="J6" s="35" t="s">
        <v>18</v>
      </c>
      <c r="K6" s="35" t="s">
        <v>19</v>
      </c>
      <c r="L6" s="35" t="s">
        <v>20</v>
      </c>
      <c r="M6" s="35" t="s">
        <v>21</v>
      </c>
      <c r="N6" s="35" t="s">
        <v>22</v>
      </c>
      <c r="O6" s="35" t="s">
        <v>23</v>
      </c>
      <c r="P6" s="35" t="s">
        <v>24</v>
      </c>
      <c r="Q6" s="35" t="s">
        <v>25</v>
      </c>
      <c r="R6" s="35" t="s">
        <v>26</v>
      </c>
      <c r="S6" s="35" t="s">
        <v>27</v>
      </c>
      <c r="T6" s="35" t="s">
        <v>28</v>
      </c>
      <c r="U6" s="35" t="s">
        <v>29</v>
      </c>
    </row>
    <row r="7" spans="1:21" s="3" customFormat="1" x14ac:dyDescent="0.3">
      <c r="A7" s="1"/>
      <c r="B7" s="1"/>
      <c r="C7" s="1"/>
      <c r="D7" s="1"/>
      <c r="E7" s="1"/>
      <c r="F7" s="1"/>
      <c r="G7" s="1"/>
      <c r="H7" s="1"/>
      <c r="I7" s="4"/>
      <c r="J7" s="4"/>
      <c r="K7" s="1"/>
      <c r="L7" s="1"/>
      <c r="M7" s="1"/>
      <c r="N7" s="1"/>
      <c r="O7" s="1"/>
      <c r="P7" s="1"/>
      <c r="Q7" s="1"/>
      <c r="R7" s="1"/>
      <c r="S7" s="1"/>
      <c r="T7" s="1"/>
      <c r="U7" s="1"/>
    </row>
    <row r="8" spans="1:21" s="3" customFormat="1" x14ac:dyDescent="0.3">
      <c r="A8" s="1"/>
      <c r="B8" s="1"/>
      <c r="C8" s="1"/>
      <c r="D8" s="1"/>
      <c r="E8" s="1"/>
      <c r="F8" s="1"/>
      <c r="G8" s="1"/>
      <c r="H8" s="1"/>
      <c r="I8" s="1"/>
      <c r="J8" s="1"/>
      <c r="K8" s="1"/>
      <c r="L8" s="1"/>
      <c r="M8" s="1"/>
      <c r="N8" s="1"/>
      <c r="O8" s="1"/>
      <c r="P8" s="1"/>
      <c r="Q8" s="1"/>
      <c r="R8" s="1"/>
      <c r="S8" s="1"/>
      <c r="T8" s="1"/>
      <c r="U8" s="1"/>
    </row>
  </sheetData>
  <sheetProtection algorithmName="SHA-512" hashValue="pw8pkCHDjg3+bkZX6Tm2ZxDcpoyJiUuQNkr+I0Fh5QNee/oMG34sNdh+NlCUhSR4WTG+BuqoAG5tbUz8PSbjZA==" saltValue="yfZlo6rBDZ9eodz6yYEvnQ==" spinCount="100000" sheet="1" formatCells="0" formatColumns="0" formatRows="0" insertColumns="0" insertRows="0" sort="0" autoFilter="0"/>
  <dataValidations count="1">
    <dataValidation type="list" allowBlank="1" showInputMessage="1" showErrorMessage="1" sqref="B5" xr:uid="{F3C003EE-9FE7-4C78-A7F0-1AE9A90269D6}">
      <formula1>"Please select,Option 1 Single site,Option 1 Multisite without QMS,Option 2 Members,Site of an option 1 multisite with QMS"</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8C676-53FA-466A-922F-4DD775ED624E}">
  <dimension ref="A1:U21"/>
  <sheetViews>
    <sheetView zoomScale="55" zoomScaleNormal="55" workbookViewId="0">
      <pane ySplit="2" topLeftCell="A3" activePane="bottomLeft" state="frozen"/>
      <selection pane="bottomLeft" activeCell="B7" sqref="B7"/>
    </sheetView>
  </sheetViews>
  <sheetFormatPr defaultColWidth="9.109375" defaultRowHeight="14.4" x14ac:dyDescent="0.3"/>
  <cols>
    <col min="1" max="1" width="58.109375" style="2" customWidth="1" collapsed="1"/>
    <col min="2" max="21" width="35.109375" style="2" customWidth="1" collapsed="1"/>
    <col min="22" max="16384" width="9.109375" style="2"/>
  </cols>
  <sheetData>
    <row r="1" spans="1:21" ht="21" x14ac:dyDescent="0.4">
      <c r="A1" s="29" t="s">
        <v>30</v>
      </c>
      <c r="B1" s="8"/>
      <c r="C1" s="8"/>
      <c r="D1" s="8"/>
      <c r="E1" s="8"/>
      <c r="F1" s="8"/>
      <c r="G1" s="8"/>
      <c r="H1" s="8"/>
      <c r="I1" s="8"/>
      <c r="J1" s="8"/>
      <c r="K1" s="8"/>
      <c r="L1" s="8"/>
      <c r="M1" s="8"/>
      <c r="N1" s="8"/>
      <c r="O1" s="8"/>
      <c r="P1" s="8"/>
      <c r="Q1" s="8"/>
      <c r="R1" s="8"/>
      <c r="S1" s="8"/>
      <c r="T1" s="8"/>
      <c r="U1" s="8"/>
    </row>
    <row r="2" spans="1:21" ht="63" x14ac:dyDescent="0.4">
      <c r="A2" s="28" t="s">
        <v>31</v>
      </c>
      <c r="B2" s="5"/>
    </row>
    <row r="5" spans="1:21" ht="129.6" x14ac:dyDescent="0.3">
      <c r="A5" s="49" t="s">
        <v>32</v>
      </c>
      <c r="B5" s="30" t="s">
        <v>33</v>
      </c>
      <c r="C5" s="30" t="s">
        <v>34</v>
      </c>
      <c r="D5" s="30" t="s">
        <v>35</v>
      </c>
      <c r="E5" s="30" t="s">
        <v>36</v>
      </c>
    </row>
    <row r="6" spans="1:21" x14ac:dyDescent="0.3">
      <c r="A6" s="49"/>
      <c r="B6" s="1"/>
      <c r="C6" s="1"/>
      <c r="D6" s="1"/>
      <c r="E6" s="1"/>
    </row>
    <row r="7" spans="1:21" ht="57.6" x14ac:dyDescent="0.3">
      <c r="A7" s="49"/>
      <c r="B7" s="30" t="s">
        <v>37</v>
      </c>
      <c r="C7" s="30" t="s">
        <v>38</v>
      </c>
      <c r="D7" s="30" t="s">
        <v>39</v>
      </c>
      <c r="E7" s="30" t="s">
        <v>40</v>
      </c>
      <c r="F7" s="30" t="s">
        <v>41</v>
      </c>
    </row>
    <row r="8" spans="1:21" x14ac:dyDescent="0.3">
      <c r="A8" s="49"/>
      <c r="B8" s="1"/>
      <c r="C8" s="1"/>
      <c r="D8" s="1"/>
      <c r="E8" s="1"/>
      <c r="F8" s="1"/>
      <c r="G8" s="1"/>
      <c r="H8" s="1"/>
      <c r="I8" s="1"/>
      <c r="J8" s="1"/>
      <c r="K8" s="1"/>
      <c r="L8" s="1"/>
    </row>
    <row r="9" spans="1:21" ht="72" x14ac:dyDescent="0.3">
      <c r="A9" s="49"/>
      <c r="B9" s="30" t="s">
        <v>42</v>
      </c>
      <c r="C9" s="1"/>
      <c r="D9" s="1"/>
      <c r="E9" s="1"/>
      <c r="F9" s="1"/>
      <c r="G9" s="1"/>
      <c r="H9" s="1"/>
      <c r="I9" s="1"/>
      <c r="J9" s="1"/>
      <c r="K9" s="1"/>
      <c r="L9" s="1"/>
    </row>
    <row r="10" spans="1:21" x14ac:dyDescent="0.3">
      <c r="A10" s="49"/>
      <c r="B10" s="1"/>
      <c r="C10" s="1"/>
      <c r="D10" s="1"/>
      <c r="E10" s="1"/>
      <c r="F10" s="1"/>
      <c r="G10" s="1"/>
      <c r="H10" s="1"/>
      <c r="I10" s="1"/>
      <c r="J10" s="1"/>
      <c r="K10" s="1"/>
      <c r="L10" s="1"/>
    </row>
    <row r="11" spans="1:21" ht="72" x14ac:dyDescent="0.3">
      <c r="A11" s="49"/>
      <c r="B11" s="30" t="s">
        <v>43</v>
      </c>
      <c r="C11" s="1"/>
      <c r="D11" s="1"/>
      <c r="E11" s="1"/>
      <c r="F11" s="1"/>
      <c r="G11" s="1"/>
      <c r="H11" s="1"/>
      <c r="I11" s="1"/>
      <c r="J11" s="1"/>
      <c r="K11" s="1"/>
      <c r="L11" s="1"/>
    </row>
    <row r="12" spans="1:21" x14ac:dyDescent="0.3">
      <c r="A12" s="49"/>
      <c r="B12" s="1"/>
      <c r="C12" s="1"/>
      <c r="D12" s="1"/>
      <c r="E12" s="1"/>
      <c r="F12" s="1"/>
      <c r="G12" s="1"/>
      <c r="H12" s="1"/>
      <c r="I12" s="1"/>
      <c r="J12" s="1"/>
      <c r="K12" s="1"/>
      <c r="L12" s="1"/>
    </row>
    <row r="13" spans="1:21" ht="115.2" x14ac:dyDescent="0.3">
      <c r="A13" s="49"/>
      <c r="B13" s="30" t="s">
        <v>44</v>
      </c>
      <c r="C13" s="30" t="s">
        <v>45</v>
      </c>
      <c r="D13" s="30" t="s">
        <v>46</v>
      </c>
      <c r="E13" s="30" t="s">
        <v>47</v>
      </c>
      <c r="F13" s="30" t="s">
        <v>48</v>
      </c>
      <c r="G13" s="30" t="s">
        <v>49</v>
      </c>
      <c r="H13" s="30" t="s">
        <v>50</v>
      </c>
      <c r="I13" s="30" t="s">
        <v>51</v>
      </c>
      <c r="J13" s="30" t="s">
        <v>52</v>
      </c>
      <c r="K13" s="30" t="s">
        <v>53</v>
      </c>
      <c r="L13" s="30" t="s">
        <v>54</v>
      </c>
      <c r="M13" s="30" t="s">
        <v>55</v>
      </c>
      <c r="N13" s="30" t="s">
        <v>56</v>
      </c>
      <c r="O13" s="30" t="s">
        <v>57</v>
      </c>
      <c r="P13" s="30" t="s">
        <v>58</v>
      </c>
      <c r="Q13" s="30" t="s">
        <v>59</v>
      </c>
    </row>
    <row r="14" spans="1:21" x14ac:dyDescent="0.3">
      <c r="A14" s="49"/>
      <c r="B14" s="1"/>
      <c r="C14" s="1"/>
      <c r="D14" s="1"/>
      <c r="E14" s="1"/>
      <c r="F14" s="1"/>
      <c r="G14" s="1"/>
      <c r="H14" s="1"/>
      <c r="I14" s="1"/>
      <c r="J14" s="1"/>
      <c r="K14" s="1"/>
      <c r="L14" s="1"/>
      <c r="M14" s="1"/>
      <c r="N14" s="1"/>
      <c r="O14" s="1"/>
      <c r="P14" s="1"/>
      <c r="Q14" s="1"/>
    </row>
    <row r="15" spans="1:21" ht="57.6" x14ac:dyDescent="0.3">
      <c r="A15" s="49"/>
      <c r="B15" s="30" t="s">
        <v>60</v>
      </c>
      <c r="C15" s="30" t="s">
        <v>61</v>
      </c>
      <c r="D15" s="30" t="s">
        <v>50</v>
      </c>
      <c r="E15" s="30" t="s">
        <v>51</v>
      </c>
      <c r="F15" s="30" t="s">
        <v>52</v>
      </c>
    </row>
    <row r="16" spans="1:21" x14ac:dyDescent="0.3">
      <c r="A16" s="49"/>
      <c r="B16" s="1"/>
      <c r="D16" s="1"/>
      <c r="E16" s="1"/>
      <c r="F16" s="1"/>
    </row>
    <row r="17" spans="1:8" ht="57.6" x14ac:dyDescent="0.3">
      <c r="A17" s="49"/>
      <c r="B17" s="30" t="s">
        <v>62</v>
      </c>
      <c r="C17" s="30" t="s">
        <v>61</v>
      </c>
      <c r="D17" s="30" t="s">
        <v>63</v>
      </c>
      <c r="E17" s="30" t="s">
        <v>51</v>
      </c>
      <c r="F17" s="30" t="s">
        <v>52</v>
      </c>
    </row>
    <row r="18" spans="1:8" x14ac:dyDescent="0.3">
      <c r="A18" s="49"/>
    </row>
    <row r="20" spans="1:8" ht="57.6" x14ac:dyDescent="0.3">
      <c r="A20" s="50" t="s">
        <v>64</v>
      </c>
      <c r="B20" s="30" t="s">
        <v>65</v>
      </c>
      <c r="C20" s="30" t="s">
        <v>66</v>
      </c>
      <c r="D20" s="30" t="s">
        <v>67</v>
      </c>
      <c r="E20" s="30" t="s">
        <v>68</v>
      </c>
      <c r="F20" s="30" t="s">
        <v>69</v>
      </c>
      <c r="G20" s="30" t="s">
        <v>70</v>
      </c>
      <c r="H20" s="30" t="s">
        <v>71</v>
      </c>
    </row>
    <row r="21" spans="1:8" x14ac:dyDescent="0.3">
      <c r="A21" s="50"/>
    </row>
  </sheetData>
  <sheetProtection algorithmName="SHA-512" hashValue="BURfS6fWQSFThWmKYrJ8mdDAZvG25EoCFZ52P5mYY/gsNqluozoG/4C4rzUWK8aNVZOiYuOqPeUsEoOTaiP4VQ==" saltValue="7/w5gBij0WEKhJZ47Gks1w==" spinCount="100000" sheet="1" formatCells="0" formatColumns="0" formatRows="0" insertColumns="0" insertRows="0" sort="0" autoFilter="0"/>
  <mergeCells count="2">
    <mergeCell ref="A5:A18"/>
    <mergeCell ref="A20:A2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266"/>
  <sheetViews>
    <sheetView tabSelected="1" zoomScaleNormal="100" workbookViewId="0">
      <pane ySplit="9" topLeftCell="A53" activePane="bottomLeft" state="frozen"/>
      <selection pane="bottomLeft" activeCell="F6" sqref="F6"/>
    </sheetView>
  </sheetViews>
  <sheetFormatPr defaultColWidth="8.88671875" defaultRowHeight="14.4" outlineLevelRow="1" x14ac:dyDescent="0.3"/>
  <cols>
    <col min="1" max="1" width="7.109375" style="2" customWidth="1" collapsed="1"/>
    <col min="2" max="2" width="11.109375" style="2" customWidth="1" collapsed="1"/>
    <col min="3" max="3" width="7.109375" style="2" customWidth="1" collapsed="1"/>
    <col min="4" max="4" width="8.88671875" style="2"/>
    <col min="5" max="5" width="28.5546875" style="2" customWidth="1" collapsed="1"/>
    <col min="6" max="6" width="44.109375" style="2" customWidth="1" collapsed="1"/>
    <col min="7" max="7" width="67.44140625" style="2" customWidth="1" collapsed="1"/>
    <col min="8" max="8" width="25.44140625" style="2" customWidth="1" collapsed="1"/>
    <col min="9" max="9" width="16.44140625" style="2" customWidth="1" collapsed="1"/>
    <col min="10" max="13" width="8.88671875" style="2"/>
    <col min="14" max="17" width="28.5546875" style="2" customWidth="1" collapsed="1"/>
    <col min="18" max="18" width="14.88671875" style="2" customWidth="1" collapsed="1"/>
    <col min="19" max="16384" width="8.88671875" style="2"/>
  </cols>
  <sheetData>
    <row r="1" spans="1:28" ht="21" x14ac:dyDescent="0.4">
      <c r="A1" s="37" t="s">
        <v>72</v>
      </c>
      <c r="B1"/>
      <c r="C1"/>
      <c r="D1"/>
      <c r="E1"/>
      <c r="F1"/>
      <c r="G1"/>
    </row>
    <row r="2" spans="1:28" ht="21" outlineLevel="1" x14ac:dyDescent="0.4">
      <c r="A2" s="40" t="s">
        <v>30</v>
      </c>
      <c r="B2" s="41"/>
      <c r="C2" s="8"/>
      <c r="D2" s="8"/>
      <c r="E2" s="8"/>
      <c r="F2" s="8"/>
      <c r="G2" s="8"/>
      <c r="H2" s="8"/>
      <c r="I2" s="8"/>
      <c r="J2" s="8"/>
      <c r="K2" s="8"/>
      <c r="L2" s="8"/>
      <c r="M2" s="8"/>
      <c r="N2" s="8"/>
      <c r="O2" s="8"/>
      <c r="P2" s="8"/>
      <c r="Q2" s="8"/>
      <c r="R2" s="8"/>
    </row>
    <row r="3" spans="1:28" outlineLevel="1" x14ac:dyDescent="0.3">
      <c r="B3" s="38" t="s">
        <v>73</v>
      </c>
      <c r="C3"/>
      <c r="D3"/>
      <c r="E3"/>
      <c r="F3"/>
    </row>
    <row r="4" spans="1:28" outlineLevel="1" x14ac:dyDescent="0.3">
      <c r="B4" s="38" t="s">
        <v>74</v>
      </c>
      <c r="C4"/>
      <c r="D4"/>
      <c r="E4"/>
    </row>
    <row r="5" spans="1:28" outlineLevel="1" x14ac:dyDescent="0.3">
      <c r="B5" s="39" t="s">
        <v>75</v>
      </c>
      <c r="C5"/>
      <c r="D5"/>
      <c r="E5"/>
      <c r="F5"/>
    </row>
    <row r="6" spans="1:28" outlineLevel="1" x14ac:dyDescent="0.3">
      <c r="B6" s="38" t="s">
        <v>76</v>
      </c>
      <c r="C6"/>
      <c r="D6"/>
      <c r="E6"/>
      <c r="F6"/>
      <c r="G6"/>
      <c r="H6"/>
    </row>
    <row r="7" spans="1:28" x14ac:dyDescent="0.3">
      <c r="B7" s="36" t="s">
        <v>77</v>
      </c>
    </row>
    <row r="9" spans="1:28" x14ac:dyDescent="0.3">
      <c r="A9" s="42" t="s">
        <v>78</v>
      </c>
      <c r="B9" s="42" t="s">
        <v>79</v>
      </c>
      <c r="C9" s="42" t="s">
        <v>80</v>
      </c>
      <c r="D9" s="42" t="s">
        <v>81</v>
      </c>
      <c r="E9" s="42" t="s">
        <v>82</v>
      </c>
      <c r="F9" s="42" t="s">
        <v>83</v>
      </c>
      <c r="G9" s="42" t="s">
        <v>84</v>
      </c>
      <c r="H9" s="42" t="s">
        <v>85</v>
      </c>
      <c r="I9" s="42" t="s">
        <v>86</v>
      </c>
      <c r="J9" s="42" t="s">
        <v>87</v>
      </c>
      <c r="K9" s="42" t="s">
        <v>88</v>
      </c>
      <c r="L9" s="42" t="s">
        <v>89</v>
      </c>
      <c r="M9" s="42" t="s">
        <v>90</v>
      </c>
      <c r="N9" s="42" t="s">
        <v>91</v>
      </c>
      <c r="O9" s="42" t="s">
        <v>92</v>
      </c>
      <c r="P9" s="42" t="s">
        <v>93</v>
      </c>
      <c r="Q9" s="42" t="s">
        <v>94</v>
      </c>
      <c r="R9" s="42" t="s">
        <v>95</v>
      </c>
      <c r="S9" s="48" t="s">
        <v>1174</v>
      </c>
      <c r="T9" s="48" t="s">
        <v>1175</v>
      </c>
      <c r="U9" s="48" t="s">
        <v>1176</v>
      </c>
      <c r="V9" s="48" t="s">
        <v>1177</v>
      </c>
      <c r="W9" s="48" t="s">
        <v>1178</v>
      </c>
      <c r="X9" s="48" t="s">
        <v>1179</v>
      </c>
      <c r="Y9" s="48" t="s">
        <v>1180</v>
      </c>
      <c r="Z9" s="48" t="s">
        <v>1181</v>
      </c>
      <c r="AA9" s="48" t="s">
        <v>1182</v>
      </c>
      <c r="AB9" s="48" t="s">
        <v>1183</v>
      </c>
    </row>
    <row r="10" spans="1:28" ht="100.8" x14ac:dyDescent="0.3">
      <c r="A10" s="43" t="s">
        <v>96</v>
      </c>
      <c r="B10" s="43" t="s">
        <v>97</v>
      </c>
      <c r="C10" s="43" t="s">
        <v>98</v>
      </c>
      <c r="D10" s="43" t="s">
        <v>99</v>
      </c>
      <c r="E10" s="43" t="s">
        <v>100</v>
      </c>
      <c r="F10" s="43" t="s">
        <v>101</v>
      </c>
      <c r="G10" s="43" t="s">
        <v>102</v>
      </c>
      <c r="H10" s="43"/>
      <c r="I10" s="44" t="s">
        <v>103</v>
      </c>
      <c r="J10" s="9"/>
      <c r="K10" s="9"/>
      <c r="L10" s="9"/>
      <c r="M10" s="47" t="str">
        <f t="shared" ref="M10:M73" si="0">IF(AND(J10&lt;&gt;"",ISBLANK(K10),ISBLANK(L10)),"Yes",IF(AND(K10&lt;&gt;"",ISBLANK(J10),ISBLANK(L10)),"No",IF(AND(L10&lt;&gt;"",ISBLANK(J10),ISBLANK(K10)),"N/A","not answered/error")))</f>
        <v>not answered/error</v>
      </c>
      <c r="N10" s="43"/>
      <c r="O10" s="43"/>
      <c r="P10" s="43"/>
      <c r="Q10" s="10" t="s">
        <v>1000</v>
      </c>
      <c r="R10" s="10"/>
      <c r="S10" s="10"/>
      <c r="T10" s="10"/>
      <c r="U10" s="10"/>
      <c r="V10" s="10"/>
      <c r="W10" s="10"/>
      <c r="X10" s="10"/>
      <c r="Y10" s="10"/>
      <c r="Z10" s="10"/>
      <c r="AA10" s="10"/>
      <c r="AB10" s="10"/>
    </row>
    <row r="11" spans="1:28" ht="57.6" x14ac:dyDescent="0.3">
      <c r="A11" s="43" t="s">
        <v>96</v>
      </c>
      <c r="B11" s="43" t="s">
        <v>97</v>
      </c>
      <c r="C11" s="43" t="s">
        <v>98</v>
      </c>
      <c r="D11" s="43" t="s">
        <v>104</v>
      </c>
      <c r="E11" s="43" t="s">
        <v>100</v>
      </c>
      <c r="F11" s="43" t="s">
        <v>105</v>
      </c>
      <c r="G11" s="43" t="s">
        <v>106</v>
      </c>
      <c r="H11" s="43"/>
      <c r="I11" s="44" t="s">
        <v>103</v>
      </c>
      <c r="J11" s="9"/>
      <c r="K11" s="9"/>
      <c r="L11" s="9"/>
      <c r="M11" s="47" t="str">
        <f t="shared" si="0"/>
        <v>not answered/error</v>
      </c>
      <c r="N11" s="43"/>
      <c r="O11" s="43"/>
      <c r="P11" s="43"/>
      <c r="Q11" s="10" t="s">
        <v>1001</v>
      </c>
      <c r="R11" s="10"/>
      <c r="S11" s="10"/>
      <c r="T11" s="10"/>
      <c r="U11" s="10"/>
      <c r="V11" s="10"/>
      <c r="W11" s="10"/>
      <c r="X11" s="10"/>
      <c r="Y11" s="10"/>
      <c r="Z11" s="10"/>
      <c r="AA11" s="10"/>
      <c r="AB11" s="10"/>
    </row>
    <row r="12" spans="1:28" ht="259.2" x14ac:dyDescent="0.3">
      <c r="A12" s="43" t="s">
        <v>96</v>
      </c>
      <c r="B12" s="43" t="s">
        <v>97</v>
      </c>
      <c r="C12" s="43" t="s">
        <v>98</v>
      </c>
      <c r="D12" s="43" t="s">
        <v>107</v>
      </c>
      <c r="E12" s="43" t="s">
        <v>100</v>
      </c>
      <c r="F12" s="43" t="s">
        <v>108</v>
      </c>
      <c r="G12" s="43" t="s">
        <v>109</v>
      </c>
      <c r="H12" s="43"/>
      <c r="I12" s="44" t="s">
        <v>103</v>
      </c>
      <c r="J12" s="10"/>
      <c r="K12" s="10"/>
      <c r="L12" s="10"/>
      <c r="M12" s="47" t="str">
        <f t="shared" si="0"/>
        <v>not answered/error</v>
      </c>
      <c r="N12" s="43"/>
      <c r="O12" s="43"/>
      <c r="P12" s="43"/>
      <c r="Q12" s="10" t="s">
        <v>1002</v>
      </c>
      <c r="R12" s="10"/>
      <c r="S12" s="10"/>
      <c r="T12" s="10"/>
      <c r="U12" s="10"/>
      <c r="V12" s="10"/>
      <c r="W12" s="10"/>
      <c r="X12" s="10"/>
      <c r="Y12" s="10"/>
      <c r="Z12" s="10"/>
      <c r="AA12" s="10"/>
      <c r="AB12" s="10"/>
    </row>
    <row r="13" spans="1:28" ht="172.8" x14ac:dyDescent="0.3">
      <c r="A13" s="43" t="s">
        <v>96</v>
      </c>
      <c r="B13" s="43" t="s">
        <v>97</v>
      </c>
      <c r="C13" s="43" t="s">
        <v>98</v>
      </c>
      <c r="D13" s="43" t="s">
        <v>110</v>
      </c>
      <c r="E13" s="43" t="s">
        <v>100</v>
      </c>
      <c r="F13" s="43" t="s">
        <v>111</v>
      </c>
      <c r="G13" s="43" t="s">
        <v>112</v>
      </c>
      <c r="H13" s="43"/>
      <c r="I13" s="44" t="s">
        <v>103</v>
      </c>
      <c r="J13" s="10"/>
      <c r="K13" s="10"/>
      <c r="L13" s="10"/>
      <c r="M13" s="47" t="str">
        <f t="shared" si="0"/>
        <v>not answered/error</v>
      </c>
      <c r="N13" s="43"/>
      <c r="O13" s="43"/>
      <c r="P13" s="43"/>
      <c r="Q13" s="10" t="s">
        <v>1003</v>
      </c>
      <c r="R13" s="10"/>
      <c r="S13" s="10"/>
      <c r="T13" s="10"/>
      <c r="U13" s="10"/>
      <c r="V13" s="10"/>
      <c r="W13" s="10"/>
      <c r="X13" s="10"/>
      <c r="Y13" s="10"/>
      <c r="Z13" s="10"/>
      <c r="AA13" s="10"/>
      <c r="AB13" s="10"/>
    </row>
    <row r="14" spans="1:28" ht="216" x14ac:dyDescent="0.3">
      <c r="A14" s="43" t="s">
        <v>96</v>
      </c>
      <c r="B14" s="43" t="s">
        <v>97</v>
      </c>
      <c r="C14" s="43" t="s">
        <v>98</v>
      </c>
      <c r="D14" s="43" t="s">
        <v>113</v>
      </c>
      <c r="E14" s="43" t="s">
        <v>100</v>
      </c>
      <c r="F14" s="43" t="s">
        <v>114</v>
      </c>
      <c r="G14" s="43" t="s">
        <v>115</v>
      </c>
      <c r="H14" s="43"/>
      <c r="I14" s="44" t="s">
        <v>103</v>
      </c>
      <c r="J14" s="10"/>
      <c r="K14" s="10"/>
      <c r="L14" s="10"/>
      <c r="M14" s="47" t="str">
        <f t="shared" si="0"/>
        <v>not answered/error</v>
      </c>
      <c r="N14" s="43"/>
      <c r="O14" s="43"/>
      <c r="P14" s="43"/>
      <c r="Q14" s="10"/>
      <c r="R14" s="10"/>
      <c r="S14" s="10"/>
      <c r="T14" s="10"/>
      <c r="U14" s="10"/>
      <c r="V14" s="10"/>
      <c r="W14" s="10"/>
      <c r="X14" s="10"/>
      <c r="Y14" s="10"/>
      <c r="Z14" s="10"/>
      <c r="AA14" s="10"/>
      <c r="AB14" s="10"/>
    </row>
    <row r="15" spans="1:28" ht="100.8" x14ac:dyDescent="0.3">
      <c r="A15" s="43" t="s">
        <v>96</v>
      </c>
      <c r="B15" s="43" t="s">
        <v>97</v>
      </c>
      <c r="C15" s="43" t="s">
        <v>98</v>
      </c>
      <c r="D15" s="43" t="s">
        <v>116</v>
      </c>
      <c r="E15" s="43" t="s">
        <v>100</v>
      </c>
      <c r="F15" s="43" t="s">
        <v>117</v>
      </c>
      <c r="G15" s="43" t="s">
        <v>118</v>
      </c>
      <c r="H15" s="43"/>
      <c r="I15" s="44" t="s">
        <v>103</v>
      </c>
      <c r="J15" s="9"/>
      <c r="K15" s="9"/>
      <c r="L15" s="9"/>
      <c r="M15" s="47" t="str">
        <f t="shared" si="0"/>
        <v>not answered/error</v>
      </c>
      <c r="N15" s="43"/>
      <c r="O15" s="43"/>
      <c r="P15" s="43"/>
      <c r="Q15" s="10"/>
      <c r="R15" s="10"/>
      <c r="S15" s="10"/>
      <c r="T15" s="10"/>
      <c r="U15" s="10"/>
      <c r="V15" s="10"/>
      <c r="W15" s="10"/>
      <c r="X15" s="10"/>
      <c r="Y15" s="10"/>
      <c r="Z15" s="10"/>
      <c r="AA15" s="10"/>
      <c r="AB15" s="10"/>
    </row>
    <row r="16" spans="1:28" ht="115.2" x14ac:dyDescent="0.3">
      <c r="A16" s="43" t="s">
        <v>96</v>
      </c>
      <c r="B16" s="43" t="s">
        <v>97</v>
      </c>
      <c r="C16" s="43" t="s">
        <v>98</v>
      </c>
      <c r="D16" s="43" t="s">
        <v>119</v>
      </c>
      <c r="E16" s="43" t="s">
        <v>100</v>
      </c>
      <c r="F16" s="43" t="s">
        <v>120</v>
      </c>
      <c r="G16" s="43" t="s">
        <v>121</v>
      </c>
      <c r="H16" s="43"/>
      <c r="I16" s="44" t="s">
        <v>103</v>
      </c>
      <c r="J16" s="9"/>
      <c r="K16" s="9"/>
      <c r="L16" s="9"/>
      <c r="M16" s="47" t="str">
        <f t="shared" si="0"/>
        <v>not answered/error</v>
      </c>
      <c r="N16" s="43"/>
      <c r="O16" s="43"/>
      <c r="P16" s="43"/>
      <c r="Q16" s="10" t="s">
        <v>1004</v>
      </c>
      <c r="R16" s="10"/>
      <c r="S16" s="10"/>
      <c r="T16" s="10"/>
      <c r="U16" s="10"/>
      <c r="V16" s="10"/>
      <c r="W16" s="10"/>
      <c r="X16" s="10"/>
      <c r="Y16" s="10"/>
      <c r="Z16" s="10"/>
      <c r="AA16" s="10"/>
      <c r="AB16" s="10"/>
    </row>
    <row r="17" spans="1:28" ht="100.8" x14ac:dyDescent="0.3">
      <c r="A17" s="43" t="s">
        <v>96</v>
      </c>
      <c r="B17" s="43" t="s">
        <v>97</v>
      </c>
      <c r="C17" s="43" t="s">
        <v>98</v>
      </c>
      <c r="D17" s="43" t="s">
        <v>122</v>
      </c>
      <c r="E17" s="43" t="s">
        <v>123</v>
      </c>
      <c r="F17" s="43" t="s">
        <v>124</v>
      </c>
      <c r="G17" s="43" t="s">
        <v>125</v>
      </c>
      <c r="H17" s="43"/>
      <c r="I17" s="44" t="s">
        <v>103</v>
      </c>
      <c r="J17" s="9"/>
      <c r="K17" s="9"/>
      <c r="L17" s="9"/>
      <c r="M17" s="47" t="str">
        <f t="shared" si="0"/>
        <v>not answered/error</v>
      </c>
      <c r="N17" s="43"/>
      <c r="O17" s="43"/>
      <c r="P17" s="43"/>
      <c r="Q17" s="10" t="s">
        <v>1005</v>
      </c>
      <c r="R17" s="10"/>
      <c r="S17" s="10"/>
      <c r="T17" s="10"/>
      <c r="U17" s="10"/>
      <c r="V17" s="10"/>
      <c r="W17" s="10"/>
      <c r="X17" s="10"/>
      <c r="Y17" s="10"/>
      <c r="Z17" s="10"/>
      <c r="AA17" s="10"/>
      <c r="AB17" s="10"/>
    </row>
    <row r="18" spans="1:28" ht="72" x14ac:dyDescent="0.3">
      <c r="A18" s="43" t="s">
        <v>96</v>
      </c>
      <c r="B18" s="43" t="s">
        <v>97</v>
      </c>
      <c r="C18" s="43" t="s">
        <v>98</v>
      </c>
      <c r="D18" s="43" t="s">
        <v>126</v>
      </c>
      <c r="E18" s="43" t="s">
        <v>123</v>
      </c>
      <c r="F18" s="43" t="s">
        <v>127</v>
      </c>
      <c r="G18" s="43" t="s">
        <v>128</v>
      </c>
      <c r="H18" s="43"/>
      <c r="I18" s="44" t="s">
        <v>103</v>
      </c>
      <c r="J18" s="9"/>
      <c r="K18" s="9"/>
      <c r="L18" s="9"/>
      <c r="M18" s="47" t="str">
        <f t="shared" si="0"/>
        <v>not answered/error</v>
      </c>
      <c r="N18" s="43"/>
      <c r="O18" s="43"/>
      <c r="P18" s="43"/>
      <c r="Q18" s="10" t="s">
        <v>1006</v>
      </c>
      <c r="R18" s="10"/>
      <c r="S18" s="10"/>
      <c r="T18" s="10"/>
      <c r="U18" s="10"/>
      <c r="V18" s="10"/>
      <c r="W18" s="10"/>
      <c r="X18" s="10"/>
      <c r="Y18" s="10"/>
      <c r="Z18" s="10"/>
      <c r="AA18" s="10"/>
      <c r="AB18" s="10"/>
    </row>
    <row r="19" spans="1:28" ht="86.4" x14ac:dyDescent="0.3">
      <c r="A19" s="43" t="s">
        <v>96</v>
      </c>
      <c r="B19" s="43" t="s">
        <v>97</v>
      </c>
      <c r="C19" s="43" t="s">
        <v>98</v>
      </c>
      <c r="D19" s="43" t="s">
        <v>129</v>
      </c>
      <c r="E19" s="43" t="s">
        <v>123</v>
      </c>
      <c r="F19" s="43" t="s">
        <v>130</v>
      </c>
      <c r="G19" s="43" t="s">
        <v>131</v>
      </c>
      <c r="H19" s="43"/>
      <c r="I19" s="44" t="s">
        <v>103</v>
      </c>
      <c r="J19" s="9"/>
      <c r="K19" s="9"/>
      <c r="L19" s="9"/>
      <c r="M19" s="47" t="str">
        <f t="shared" si="0"/>
        <v>not answered/error</v>
      </c>
      <c r="N19" s="43"/>
      <c r="O19" s="43"/>
      <c r="P19" s="43"/>
      <c r="Q19" s="10" t="s">
        <v>1006</v>
      </c>
      <c r="R19" s="10"/>
      <c r="S19" s="10"/>
      <c r="T19" s="10"/>
      <c r="U19" s="10"/>
      <c r="V19" s="10"/>
      <c r="W19" s="10"/>
      <c r="X19" s="10"/>
      <c r="Y19" s="10"/>
      <c r="Z19" s="10"/>
      <c r="AA19" s="10"/>
      <c r="AB19" s="10"/>
    </row>
    <row r="20" spans="1:28" ht="158.4" x14ac:dyDescent="0.3">
      <c r="A20" s="43" t="s">
        <v>96</v>
      </c>
      <c r="B20" s="43" t="s">
        <v>97</v>
      </c>
      <c r="C20" s="43" t="s">
        <v>98</v>
      </c>
      <c r="D20" s="43" t="s">
        <v>132</v>
      </c>
      <c r="E20" s="43" t="s">
        <v>123</v>
      </c>
      <c r="F20" s="43" t="s">
        <v>133</v>
      </c>
      <c r="G20" s="43" t="s">
        <v>134</v>
      </c>
      <c r="H20" s="43"/>
      <c r="I20" s="44" t="s">
        <v>103</v>
      </c>
      <c r="J20" s="9"/>
      <c r="K20" s="9"/>
      <c r="L20" s="9"/>
      <c r="M20" s="47" t="str">
        <f t="shared" si="0"/>
        <v>not answered/error</v>
      </c>
      <c r="N20" s="43"/>
      <c r="O20" s="43"/>
      <c r="P20" s="43"/>
      <c r="Q20" s="10" t="s">
        <v>1007</v>
      </c>
      <c r="R20" s="10"/>
      <c r="S20" s="10"/>
      <c r="T20" s="10"/>
      <c r="U20" s="10"/>
      <c r="V20" s="10"/>
      <c r="W20" s="10"/>
      <c r="X20" s="10"/>
      <c r="Y20" s="10"/>
      <c r="Z20" s="10"/>
      <c r="AA20" s="10"/>
      <c r="AB20" s="10"/>
    </row>
    <row r="21" spans="1:28" ht="302.39999999999998" x14ac:dyDescent="0.3">
      <c r="A21" s="43" t="s">
        <v>96</v>
      </c>
      <c r="B21" s="43" t="s">
        <v>97</v>
      </c>
      <c r="C21" s="43" t="s">
        <v>98</v>
      </c>
      <c r="D21" s="43" t="s">
        <v>135</v>
      </c>
      <c r="E21" s="43" t="s">
        <v>123</v>
      </c>
      <c r="F21" s="43" t="s">
        <v>136</v>
      </c>
      <c r="G21" s="43" t="s">
        <v>137</v>
      </c>
      <c r="H21" s="43"/>
      <c r="I21" s="44" t="s">
        <v>103</v>
      </c>
      <c r="J21" s="9"/>
      <c r="K21" s="9"/>
      <c r="L21" s="9"/>
      <c r="M21" s="47" t="str">
        <f t="shared" si="0"/>
        <v>not answered/error</v>
      </c>
      <c r="N21" s="43"/>
      <c r="O21" s="43"/>
      <c r="P21" s="43"/>
      <c r="Q21" s="10" t="s">
        <v>1008</v>
      </c>
      <c r="R21" s="10"/>
      <c r="S21" s="10"/>
      <c r="T21" s="10"/>
      <c r="U21" s="10"/>
      <c r="V21" s="10"/>
      <c r="W21" s="10"/>
      <c r="X21" s="10"/>
      <c r="Y21" s="10"/>
      <c r="Z21" s="10"/>
      <c r="AA21" s="10"/>
      <c r="AB21" s="10"/>
    </row>
    <row r="22" spans="1:28" ht="72" x14ac:dyDescent="0.3">
      <c r="A22" s="43" t="s">
        <v>96</v>
      </c>
      <c r="B22" s="43" t="s">
        <v>97</v>
      </c>
      <c r="C22" s="43" t="s">
        <v>98</v>
      </c>
      <c r="D22" s="43" t="s">
        <v>138</v>
      </c>
      <c r="E22" s="43" t="s">
        <v>123</v>
      </c>
      <c r="F22" s="43" t="s">
        <v>139</v>
      </c>
      <c r="G22" s="43" t="s">
        <v>140</v>
      </c>
      <c r="H22" s="43"/>
      <c r="I22" s="44" t="s">
        <v>103</v>
      </c>
      <c r="J22" s="10"/>
      <c r="K22" s="10"/>
      <c r="L22" s="10"/>
      <c r="M22" s="47" t="str">
        <f t="shared" si="0"/>
        <v>not answered/error</v>
      </c>
      <c r="N22" s="43"/>
      <c r="O22" s="43"/>
      <c r="P22" s="43"/>
      <c r="Q22" s="10" t="s">
        <v>1006</v>
      </c>
      <c r="R22" s="10"/>
      <c r="S22" s="10"/>
      <c r="T22" s="10"/>
      <c r="U22" s="10"/>
      <c r="V22" s="10"/>
      <c r="W22" s="10"/>
      <c r="X22" s="10"/>
      <c r="Y22" s="10"/>
      <c r="Z22" s="10"/>
      <c r="AA22" s="10"/>
      <c r="AB22" s="10"/>
    </row>
    <row r="23" spans="1:28" ht="345.6" x14ac:dyDescent="0.3">
      <c r="A23" s="43" t="s">
        <v>96</v>
      </c>
      <c r="B23" s="43" t="s">
        <v>97</v>
      </c>
      <c r="C23" s="43" t="s">
        <v>98</v>
      </c>
      <c r="D23" s="43" t="s">
        <v>141</v>
      </c>
      <c r="E23" s="43" t="s">
        <v>123</v>
      </c>
      <c r="F23" s="43" t="s">
        <v>142</v>
      </c>
      <c r="G23" s="43" t="s">
        <v>143</v>
      </c>
      <c r="H23" s="43"/>
      <c r="I23" s="44" t="s">
        <v>103</v>
      </c>
      <c r="J23" s="10"/>
      <c r="K23" s="10"/>
      <c r="L23" s="10"/>
      <c r="M23" s="47" t="str">
        <f t="shared" si="0"/>
        <v>not answered/error</v>
      </c>
      <c r="N23" s="43"/>
      <c r="O23" s="43"/>
      <c r="P23" s="43"/>
      <c r="Q23" s="10" t="s">
        <v>1009</v>
      </c>
      <c r="R23" s="10"/>
      <c r="S23" s="10"/>
      <c r="T23" s="10"/>
      <c r="U23" s="10"/>
      <c r="V23" s="10"/>
      <c r="W23" s="10"/>
      <c r="X23" s="10"/>
      <c r="Y23" s="10"/>
      <c r="Z23" s="10"/>
      <c r="AA23" s="10"/>
      <c r="AB23" s="10"/>
    </row>
    <row r="24" spans="1:28" ht="86.4" x14ac:dyDescent="0.3">
      <c r="A24" s="43" t="s">
        <v>96</v>
      </c>
      <c r="B24" s="43" t="s">
        <v>97</v>
      </c>
      <c r="C24" s="43" t="s">
        <v>98</v>
      </c>
      <c r="D24" s="43" t="s">
        <v>144</v>
      </c>
      <c r="E24" s="43" t="s">
        <v>123</v>
      </c>
      <c r="F24" s="43" t="s">
        <v>145</v>
      </c>
      <c r="G24" s="43" t="s">
        <v>146</v>
      </c>
      <c r="H24" s="43"/>
      <c r="I24" s="44" t="s">
        <v>103</v>
      </c>
      <c r="J24" s="10"/>
      <c r="K24" s="10"/>
      <c r="L24" s="10"/>
      <c r="M24" s="47" t="str">
        <f t="shared" si="0"/>
        <v>not answered/error</v>
      </c>
      <c r="N24" s="43"/>
      <c r="O24" s="43"/>
      <c r="P24" s="43"/>
      <c r="Q24" s="10" t="s">
        <v>1010</v>
      </c>
      <c r="R24" s="10"/>
      <c r="S24" s="10"/>
      <c r="T24" s="10"/>
      <c r="U24" s="10"/>
      <c r="V24" s="10"/>
      <c r="W24" s="10"/>
      <c r="X24" s="10"/>
      <c r="Y24" s="10"/>
      <c r="Z24" s="10"/>
      <c r="AA24" s="10"/>
      <c r="AB24" s="10"/>
    </row>
    <row r="25" spans="1:28" ht="115.2" x14ac:dyDescent="0.3">
      <c r="A25" s="43" t="s">
        <v>96</v>
      </c>
      <c r="B25" s="43" t="s">
        <v>97</v>
      </c>
      <c r="C25" s="43" t="s">
        <v>98</v>
      </c>
      <c r="D25" s="43" t="s">
        <v>147</v>
      </c>
      <c r="E25" s="43" t="s">
        <v>123</v>
      </c>
      <c r="F25" s="43" t="s">
        <v>148</v>
      </c>
      <c r="G25" s="43" t="s">
        <v>149</v>
      </c>
      <c r="H25" s="43"/>
      <c r="I25" s="44" t="s">
        <v>103</v>
      </c>
      <c r="J25" s="10"/>
      <c r="K25" s="10"/>
      <c r="L25" s="10"/>
      <c r="M25" s="47" t="str">
        <f t="shared" si="0"/>
        <v>not answered/error</v>
      </c>
      <c r="N25" s="43"/>
      <c r="O25" s="43"/>
      <c r="P25" s="43"/>
      <c r="Q25" s="10" t="s">
        <v>1011</v>
      </c>
      <c r="R25" s="10"/>
      <c r="S25" s="10"/>
      <c r="T25" s="10"/>
      <c r="U25" s="10"/>
      <c r="V25" s="10"/>
      <c r="W25" s="10"/>
      <c r="X25" s="10"/>
      <c r="Y25" s="10"/>
      <c r="Z25" s="10"/>
      <c r="AA25" s="10"/>
      <c r="AB25" s="10"/>
    </row>
    <row r="26" spans="1:28" ht="115.2" x14ac:dyDescent="0.3">
      <c r="A26" s="43" t="s">
        <v>96</v>
      </c>
      <c r="B26" s="43" t="s">
        <v>97</v>
      </c>
      <c r="C26" s="43" t="s">
        <v>98</v>
      </c>
      <c r="D26" s="43" t="s">
        <v>150</v>
      </c>
      <c r="E26" s="43" t="s">
        <v>123</v>
      </c>
      <c r="F26" s="43" t="s">
        <v>151</v>
      </c>
      <c r="G26" s="43" t="s">
        <v>152</v>
      </c>
      <c r="H26" s="43"/>
      <c r="I26" s="44" t="s">
        <v>103</v>
      </c>
      <c r="J26" s="10"/>
      <c r="K26" s="10"/>
      <c r="L26" s="10"/>
      <c r="M26" s="47" t="str">
        <f t="shared" si="0"/>
        <v>not answered/error</v>
      </c>
      <c r="N26" s="43"/>
      <c r="O26" s="43"/>
      <c r="P26" s="43"/>
      <c r="Q26" s="10" t="s">
        <v>1006</v>
      </c>
      <c r="R26" s="10"/>
      <c r="S26" s="10"/>
      <c r="T26" s="10"/>
      <c r="U26" s="10"/>
      <c r="V26" s="10"/>
      <c r="W26" s="10"/>
      <c r="X26" s="10"/>
      <c r="Y26" s="10"/>
      <c r="Z26" s="10"/>
      <c r="AA26" s="10"/>
      <c r="AB26" s="10"/>
    </row>
    <row r="27" spans="1:28" ht="259.2" x14ac:dyDescent="0.3">
      <c r="A27" s="43" t="s">
        <v>96</v>
      </c>
      <c r="B27" s="43" t="s">
        <v>97</v>
      </c>
      <c r="C27" s="43" t="s">
        <v>98</v>
      </c>
      <c r="D27" s="43" t="s">
        <v>153</v>
      </c>
      <c r="E27" s="43" t="s">
        <v>154</v>
      </c>
      <c r="F27" s="43" t="s">
        <v>155</v>
      </c>
      <c r="G27" s="43" t="s">
        <v>156</v>
      </c>
      <c r="H27" s="43"/>
      <c r="I27" s="44" t="s">
        <v>103</v>
      </c>
      <c r="J27" s="9"/>
      <c r="K27" s="9"/>
      <c r="L27" s="9"/>
      <c r="M27" s="47" t="str">
        <f t="shared" si="0"/>
        <v>not answered/error</v>
      </c>
      <c r="N27" s="43"/>
      <c r="O27" s="43"/>
      <c r="P27" s="43"/>
      <c r="Q27" s="10" t="s">
        <v>1012</v>
      </c>
      <c r="R27" s="10"/>
      <c r="S27" s="10"/>
      <c r="T27" s="10"/>
      <c r="U27" s="10"/>
      <c r="V27" s="10"/>
      <c r="W27" s="10"/>
      <c r="X27" s="10"/>
      <c r="Y27" s="10"/>
      <c r="Z27" s="10"/>
      <c r="AA27" s="10"/>
      <c r="AB27" s="10"/>
    </row>
    <row r="28" spans="1:28" ht="360" x14ac:dyDescent="0.3">
      <c r="A28" s="43" t="s">
        <v>96</v>
      </c>
      <c r="B28" s="43" t="s">
        <v>97</v>
      </c>
      <c r="C28" s="43" t="s">
        <v>98</v>
      </c>
      <c r="D28" s="43" t="s">
        <v>157</v>
      </c>
      <c r="E28" s="43" t="s">
        <v>154</v>
      </c>
      <c r="F28" s="43" t="s">
        <v>158</v>
      </c>
      <c r="G28" s="43" t="s">
        <v>159</v>
      </c>
      <c r="H28" s="43"/>
      <c r="I28" s="44" t="s">
        <v>103</v>
      </c>
      <c r="J28" s="9"/>
      <c r="K28" s="9"/>
      <c r="L28" s="9"/>
      <c r="M28" s="47" t="str">
        <f t="shared" si="0"/>
        <v>not answered/error</v>
      </c>
      <c r="N28" s="43"/>
      <c r="O28" s="43"/>
      <c r="P28" s="43"/>
      <c r="Q28" s="10" t="s">
        <v>1013</v>
      </c>
      <c r="R28" s="10"/>
      <c r="S28" s="10"/>
      <c r="T28" s="10"/>
      <c r="U28" s="10"/>
      <c r="V28" s="10"/>
      <c r="W28" s="10"/>
      <c r="X28" s="10"/>
      <c r="Y28" s="10"/>
      <c r="Z28" s="10"/>
      <c r="AA28" s="10"/>
      <c r="AB28" s="10"/>
    </row>
    <row r="29" spans="1:28" ht="158.4" x14ac:dyDescent="0.3">
      <c r="A29" s="43" t="s">
        <v>96</v>
      </c>
      <c r="B29" s="43" t="s">
        <v>97</v>
      </c>
      <c r="C29" s="43" t="s">
        <v>98</v>
      </c>
      <c r="D29" s="43" t="s">
        <v>160</v>
      </c>
      <c r="E29" s="43" t="s">
        <v>154</v>
      </c>
      <c r="F29" s="43" t="s">
        <v>161</v>
      </c>
      <c r="G29" s="43" t="s">
        <v>162</v>
      </c>
      <c r="H29" s="43"/>
      <c r="I29" s="44" t="s">
        <v>103</v>
      </c>
      <c r="J29" s="9"/>
      <c r="K29" s="9"/>
      <c r="L29" s="9"/>
      <c r="M29" s="47" t="str">
        <f t="shared" si="0"/>
        <v>not answered/error</v>
      </c>
      <c r="N29" s="43"/>
      <c r="O29" s="43"/>
      <c r="P29" s="43"/>
      <c r="Q29" s="10" t="s">
        <v>1014</v>
      </c>
      <c r="R29" s="10"/>
      <c r="S29" s="10"/>
      <c r="T29" s="10"/>
      <c r="U29" s="10"/>
      <c r="V29" s="10"/>
      <c r="W29" s="10"/>
      <c r="X29" s="10"/>
      <c r="Y29" s="10"/>
      <c r="Z29" s="10"/>
      <c r="AA29" s="10"/>
      <c r="AB29" s="10"/>
    </row>
    <row r="30" spans="1:28" ht="273.60000000000002" x14ac:dyDescent="0.3">
      <c r="A30" s="43" t="s">
        <v>96</v>
      </c>
      <c r="B30" s="43" t="s">
        <v>97</v>
      </c>
      <c r="C30" s="43" t="s">
        <v>98</v>
      </c>
      <c r="D30" s="43" t="s">
        <v>163</v>
      </c>
      <c r="E30" s="43" t="s">
        <v>164</v>
      </c>
      <c r="F30" s="43" t="s">
        <v>165</v>
      </c>
      <c r="G30" s="43" t="s">
        <v>166</v>
      </c>
      <c r="H30" s="43"/>
      <c r="I30" s="44" t="s">
        <v>103</v>
      </c>
      <c r="J30" s="9"/>
      <c r="K30" s="9"/>
      <c r="L30" s="9"/>
      <c r="M30" s="47" t="str">
        <f t="shared" si="0"/>
        <v>not answered/error</v>
      </c>
      <c r="N30" s="43"/>
      <c r="O30" s="43"/>
      <c r="P30" s="43"/>
      <c r="Q30" s="10" t="s">
        <v>1015</v>
      </c>
      <c r="R30" s="10"/>
      <c r="S30" s="10"/>
      <c r="T30" s="10"/>
      <c r="U30" s="10"/>
      <c r="V30" s="10"/>
      <c r="W30" s="10"/>
      <c r="X30" s="10"/>
      <c r="Y30" s="10"/>
      <c r="Z30" s="10"/>
      <c r="AA30" s="10"/>
      <c r="AB30" s="10"/>
    </row>
    <row r="31" spans="1:28" ht="409.6" x14ac:dyDescent="0.3">
      <c r="A31" s="43" t="s">
        <v>96</v>
      </c>
      <c r="B31" s="43" t="s">
        <v>97</v>
      </c>
      <c r="C31" s="43" t="s">
        <v>98</v>
      </c>
      <c r="D31" s="43" t="s">
        <v>167</v>
      </c>
      <c r="E31" s="43" t="s">
        <v>164</v>
      </c>
      <c r="F31" s="43" t="s">
        <v>168</v>
      </c>
      <c r="G31" s="43" t="s">
        <v>169</v>
      </c>
      <c r="H31" s="43"/>
      <c r="I31" s="44" t="s">
        <v>103</v>
      </c>
      <c r="J31" s="10"/>
      <c r="K31" s="10"/>
      <c r="L31" s="10"/>
      <c r="M31" s="47" t="str">
        <f t="shared" si="0"/>
        <v>not answered/error</v>
      </c>
      <c r="N31" s="43"/>
      <c r="O31" s="43"/>
      <c r="P31" s="43"/>
      <c r="Q31" s="10" t="s">
        <v>1016</v>
      </c>
      <c r="R31" s="10"/>
      <c r="S31" s="10"/>
      <c r="T31" s="10"/>
      <c r="U31" s="10"/>
      <c r="V31" s="10"/>
      <c r="W31" s="10"/>
      <c r="X31" s="10"/>
      <c r="Y31" s="10"/>
      <c r="Z31" s="10"/>
      <c r="AA31" s="10"/>
      <c r="AB31" s="10"/>
    </row>
    <row r="32" spans="1:28" ht="409.6" x14ac:dyDescent="0.3">
      <c r="A32" s="43" t="s">
        <v>96</v>
      </c>
      <c r="B32" s="43" t="s">
        <v>97</v>
      </c>
      <c r="C32" s="43" t="s">
        <v>98</v>
      </c>
      <c r="D32" s="43" t="s">
        <v>170</v>
      </c>
      <c r="E32" s="43" t="s">
        <v>164</v>
      </c>
      <c r="F32" s="43" t="s">
        <v>171</v>
      </c>
      <c r="G32" s="43" t="s">
        <v>172</v>
      </c>
      <c r="H32" s="43"/>
      <c r="I32" s="44" t="s">
        <v>103</v>
      </c>
      <c r="J32" s="10"/>
      <c r="K32" s="10"/>
      <c r="L32" s="10"/>
      <c r="M32" s="47" t="str">
        <f t="shared" si="0"/>
        <v>not answered/error</v>
      </c>
      <c r="N32" s="43"/>
      <c r="O32" s="43"/>
      <c r="P32" s="43"/>
      <c r="Q32" s="10" t="s">
        <v>1017</v>
      </c>
      <c r="R32" s="10"/>
      <c r="S32" s="10"/>
      <c r="T32" s="10"/>
      <c r="U32" s="10"/>
      <c r="V32" s="10"/>
      <c r="W32" s="10"/>
      <c r="X32" s="10"/>
      <c r="Y32" s="10"/>
      <c r="Z32" s="10"/>
      <c r="AA32" s="10"/>
      <c r="AB32" s="10"/>
    </row>
    <row r="33" spans="1:28" ht="100.8" x14ac:dyDescent="0.3">
      <c r="A33" s="43" t="s">
        <v>96</v>
      </c>
      <c r="B33" s="43" t="s">
        <v>97</v>
      </c>
      <c r="C33" s="43" t="s">
        <v>98</v>
      </c>
      <c r="D33" s="43" t="s">
        <v>173</v>
      </c>
      <c r="E33" s="43" t="s">
        <v>164</v>
      </c>
      <c r="F33" s="43" t="s">
        <v>174</v>
      </c>
      <c r="G33" s="43" t="s">
        <v>175</v>
      </c>
      <c r="H33" s="43"/>
      <c r="I33" s="44" t="s">
        <v>103</v>
      </c>
      <c r="J33" s="9"/>
      <c r="K33" s="9"/>
      <c r="L33" s="9"/>
      <c r="M33" s="47" t="str">
        <f t="shared" si="0"/>
        <v>not answered/error</v>
      </c>
      <c r="N33" s="43"/>
      <c r="O33" s="43"/>
      <c r="P33" s="43"/>
      <c r="Q33" s="10" t="s">
        <v>1018</v>
      </c>
      <c r="R33" s="10"/>
      <c r="S33" s="10"/>
      <c r="T33" s="10"/>
      <c r="U33" s="10"/>
      <c r="V33" s="10"/>
      <c r="W33" s="10"/>
      <c r="X33" s="10"/>
      <c r="Y33" s="10"/>
      <c r="Z33" s="10"/>
      <c r="AA33" s="10"/>
      <c r="AB33" s="10"/>
    </row>
    <row r="34" spans="1:28" ht="100.8" x14ac:dyDescent="0.3">
      <c r="A34" s="43" t="s">
        <v>96</v>
      </c>
      <c r="B34" s="43" t="s">
        <v>97</v>
      </c>
      <c r="C34" s="43" t="s">
        <v>98</v>
      </c>
      <c r="D34" s="43" t="s">
        <v>176</v>
      </c>
      <c r="E34" s="43" t="s">
        <v>164</v>
      </c>
      <c r="F34" s="43" t="s">
        <v>177</v>
      </c>
      <c r="G34" s="43" t="s">
        <v>178</v>
      </c>
      <c r="H34" s="43"/>
      <c r="I34" s="44" t="s">
        <v>103</v>
      </c>
      <c r="J34" s="10"/>
      <c r="K34" s="10"/>
      <c r="L34" s="10"/>
      <c r="M34" s="47" t="str">
        <f t="shared" si="0"/>
        <v>not answered/error</v>
      </c>
      <c r="N34" s="43"/>
      <c r="O34" s="43"/>
      <c r="P34" s="43"/>
      <c r="Q34" s="10" t="s">
        <v>1019</v>
      </c>
      <c r="R34" s="10"/>
      <c r="S34" s="10"/>
      <c r="T34" s="10"/>
      <c r="U34" s="10"/>
      <c r="V34" s="10"/>
      <c r="W34" s="10"/>
      <c r="X34" s="10"/>
      <c r="Y34" s="10"/>
      <c r="Z34" s="10"/>
      <c r="AA34" s="10"/>
      <c r="AB34" s="10"/>
    </row>
    <row r="35" spans="1:28" ht="158.4" x14ac:dyDescent="0.3">
      <c r="A35" s="43" t="s">
        <v>96</v>
      </c>
      <c r="B35" s="43" t="s">
        <v>97</v>
      </c>
      <c r="C35" s="43" t="s">
        <v>98</v>
      </c>
      <c r="D35" s="43" t="s">
        <v>179</v>
      </c>
      <c r="E35" s="43" t="s">
        <v>164</v>
      </c>
      <c r="F35" s="43" t="s">
        <v>180</v>
      </c>
      <c r="G35" s="43" t="s">
        <v>181</v>
      </c>
      <c r="H35" s="43"/>
      <c r="I35" s="44" t="s">
        <v>103</v>
      </c>
      <c r="J35" s="10"/>
      <c r="K35" s="10"/>
      <c r="L35" s="10"/>
      <c r="M35" s="47" t="str">
        <f t="shared" si="0"/>
        <v>not answered/error</v>
      </c>
      <c r="N35" s="43"/>
      <c r="O35" s="43"/>
      <c r="P35" s="43"/>
      <c r="Q35" s="10" t="s">
        <v>1020</v>
      </c>
      <c r="R35" s="10"/>
      <c r="S35" s="10"/>
      <c r="T35" s="10"/>
      <c r="U35" s="10"/>
      <c r="V35" s="10"/>
      <c r="W35" s="10"/>
      <c r="X35" s="10"/>
      <c r="Y35" s="10"/>
      <c r="Z35" s="10"/>
      <c r="AA35" s="10"/>
      <c r="AB35" s="10"/>
    </row>
    <row r="36" spans="1:28" ht="409.6" x14ac:dyDescent="0.3">
      <c r="A36" s="43" t="s">
        <v>96</v>
      </c>
      <c r="B36" s="43" t="s">
        <v>97</v>
      </c>
      <c r="C36" s="43" t="s">
        <v>98</v>
      </c>
      <c r="D36" s="43" t="s">
        <v>182</v>
      </c>
      <c r="E36" s="43" t="s">
        <v>164</v>
      </c>
      <c r="F36" s="43" t="s">
        <v>183</v>
      </c>
      <c r="G36" s="43" t="s">
        <v>184</v>
      </c>
      <c r="H36" s="43"/>
      <c r="I36" s="44" t="s">
        <v>103</v>
      </c>
      <c r="J36" s="9"/>
      <c r="K36" s="9"/>
      <c r="L36" s="9"/>
      <c r="M36" s="47" t="str">
        <f t="shared" si="0"/>
        <v>not answered/error</v>
      </c>
      <c r="N36" s="43"/>
      <c r="O36" s="43"/>
      <c r="P36" s="43"/>
      <c r="Q36" s="10" t="s">
        <v>1021</v>
      </c>
      <c r="R36" s="10"/>
      <c r="S36" s="10"/>
      <c r="T36" s="10"/>
      <c r="U36" s="10"/>
      <c r="V36" s="10"/>
      <c r="W36" s="10"/>
      <c r="X36" s="10"/>
      <c r="Y36" s="10"/>
      <c r="Z36" s="10"/>
      <c r="AA36" s="10"/>
      <c r="AB36" s="10"/>
    </row>
    <row r="37" spans="1:28" ht="115.2" x14ac:dyDescent="0.3">
      <c r="A37" s="43" t="s">
        <v>96</v>
      </c>
      <c r="B37" s="43" t="s">
        <v>97</v>
      </c>
      <c r="C37" s="43" t="s">
        <v>98</v>
      </c>
      <c r="D37" s="43" t="s">
        <v>185</v>
      </c>
      <c r="E37" s="43" t="s">
        <v>164</v>
      </c>
      <c r="F37" s="43" t="s">
        <v>186</v>
      </c>
      <c r="G37" s="43" t="s">
        <v>187</v>
      </c>
      <c r="H37" s="43"/>
      <c r="I37" s="44" t="s">
        <v>103</v>
      </c>
      <c r="J37" s="10"/>
      <c r="K37" s="10"/>
      <c r="L37" s="10"/>
      <c r="M37" s="47" t="str">
        <f t="shared" si="0"/>
        <v>not answered/error</v>
      </c>
      <c r="N37" s="43"/>
      <c r="O37" s="43"/>
      <c r="P37" s="43"/>
      <c r="Q37" s="10" t="s">
        <v>1021</v>
      </c>
      <c r="R37" s="10"/>
      <c r="S37" s="10"/>
      <c r="T37" s="10"/>
      <c r="U37" s="10"/>
      <c r="V37" s="10"/>
      <c r="W37" s="10"/>
      <c r="X37" s="10"/>
      <c r="Y37" s="10"/>
      <c r="Z37" s="10"/>
      <c r="AA37" s="10"/>
      <c r="AB37" s="10"/>
    </row>
    <row r="38" spans="1:28" ht="201.6" x14ac:dyDescent="0.3">
      <c r="A38" s="43" t="s">
        <v>96</v>
      </c>
      <c r="B38" s="43" t="s">
        <v>97</v>
      </c>
      <c r="C38" s="43" t="s">
        <v>98</v>
      </c>
      <c r="D38" s="43" t="s">
        <v>188</v>
      </c>
      <c r="E38" s="43" t="s">
        <v>164</v>
      </c>
      <c r="F38" s="43" t="s">
        <v>189</v>
      </c>
      <c r="G38" s="43" t="s">
        <v>190</v>
      </c>
      <c r="H38" s="43"/>
      <c r="I38" s="44" t="s">
        <v>103</v>
      </c>
      <c r="J38" s="9"/>
      <c r="K38" s="9"/>
      <c r="L38" s="9"/>
      <c r="M38" s="47" t="str">
        <f t="shared" si="0"/>
        <v>not answered/error</v>
      </c>
      <c r="N38" s="43"/>
      <c r="O38" s="43"/>
      <c r="P38" s="43"/>
      <c r="Q38" s="10" t="s">
        <v>1006</v>
      </c>
      <c r="R38" s="10"/>
      <c r="S38" s="10"/>
      <c r="T38" s="10"/>
      <c r="U38" s="10"/>
      <c r="V38" s="10"/>
      <c r="W38" s="10"/>
      <c r="X38" s="10"/>
      <c r="Y38" s="10"/>
      <c r="Z38" s="10"/>
      <c r="AA38" s="10"/>
      <c r="AB38" s="10"/>
    </row>
    <row r="39" spans="1:28" ht="187.2" x14ac:dyDescent="0.3">
      <c r="A39" s="43" t="s">
        <v>96</v>
      </c>
      <c r="B39" s="43" t="s">
        <v>97</v>
      </c>
      <c r="C39" s="43" t="s">
        <v>98</v>
      </c>
      <c r="D39" s="43" t="s">
        <v>191</v>
      </c>
      <c r="E39" s="43" t="s">
        <v>164</v>
      </c>
      <c r="F39" s="43" t="s">
        <v>192</v>
      </c>
      <c r="G39" s="43" t="s">
        <v>193</v>
      </c>
      <c r="H39" s="43"/>
      <c r="I39" s="44" t="s">
        <v>103</v>
      </c>
      <c r="J39" s="10"/>
      <c r="K39" s="10"/>
      <c r="L39" s="10"/>
      <c r="M39" s="47" t="str">
        <f t="shared" si="0"/>
        <v>not answered/error</v>
      </c>
      <c r="N39" s="43"/>
      <c r="O39" s="43"/>
      <c r="P39" s="43"/>
      <c r="Q39" s="10" t="s">
        <v>1022</v>
      </c>
      <c r="R39" s="10"/>
      <c r="S39" s="10"/>
      <c r="T39" s="10"/>
      <c r="U39" s="10"/>
      <c r="V39" s="10"/>
      <c r="W39" s="10"/>
      <c r="X39" s="10"/>
      <c r="Y39" s="10"/>
      <c r="Z39" s="10"/>
      <c r="AA39" s="10"/>
      <c r="AB39" s="10"/>
    </row>
    <row r="40" spans="1:28" ht="72" x14ac:dyDescent="0.3">
      <c r="A40" s="43" t="s">
        <v>96</v>
      </c>
      <c r="B40" s="43" t="s">
        <v>97</v>
      </c>
      <c r="C40" s="43" t="s">
        <v>98</v>
      </c>
      <c r="D40" s="43" t="s">
        <v>194</v>
      </c>
      <c r="E40" s="43" t="s">
        <v>164</v>
      </c>
      <c r="F40" s="43" t="s">
        <v>195</v>
      </c>
      <c r="G40" s="43" t="s">
        <v>196</v>
      </c>
      <c r="H40" s="43"/>
      <c r="I40" s="44" t="s">
        <v>103</v>
      </c>
      <c r="J40" s="9"/>
      <c r="K40" s="9"/>
      <c r="L40" s="9"/>
      <c r="M40" s="47" t="str">
        <f t="shared" si="0"/>
        <v>not answered/error</v>
      </c>
      <c r="N40" s="43"/>
      <c r="O40" s="43"/>
      <c r="P40" s="43"/>
      <c r="Q40" s="10" t="s">
        <v>1021</v>
      </c>
      <c r="R40" s="10"/>
      <c r="S40" s="10"/>
      <c r="T40" s="10"/>
      <c r="U40" s="10"/>
      <c r="V40" s="10"/>
      <c r="W40" s="10"/>
      <c r="X40" s="10"/>
      <c r="Y40" s="10"/>
      <c r="Z40" s="10"/>
      <c r="AA40" s="10"/>
      <c r="AB40" s="10"/>
    </row>
    <row r="41" spans="1:28" ht="216" x14ac:dyDescent="0.3">
      <c r="A41" s="43" t="s">
        <v>96</v>
      </c>
      <c r="B41" s="43" t="s">
        <v>97</v>
      </c>
      <c r="C41" s="43" t="s">
        <v>98</v>
      </c>
      <c r="D41" s="43" t="s">
        <v>197</v>
      </c>
      <c r="E41" s="43" t="s">
        <v>164</v>
      </c>
      <c r="F41" s="43" t="s">
        <v>198</v>
      </c>
      <c r="G41" s="43" t="s">
        <v>199</v>
      </c>
      <c r="H41" s="43"/>
      <c r="I41" s="44" t="s">
        <v>103</v>
      </c>
      <c r="J41" s="9"/>
      <c r="K41" s="9"/>
      <c r="L41" s="9"/>
      <c r="M41" s="47" t="str">
        <f t="shared" si="0"/>
        <v>not answered/error</v>
      </c>
      <c r="N41" s="43"/>
      <c r="O41" s="43"/>
      <c r="P41" s="43"/>
      <c r="Q41" s="10" t="s">
        <v>1021</v>
      </c>
      <c r="R41" s="10"/>
      <c r="S41" s="10"/>
      <c r="T41" s="10"/>
      <c r="U41" s="10"/>
      <c r="V41" s="10"/>
      <c r="W41" s="10"/>
      <c r="X41" s="10"/>
      <c r="Y41" s="10"/>
      <c r="Z41" s="10"/>
      <c r="AA41" s="10"/>
      <c r="AB41" s="10"/>
    </row>
    <row r="42" spans="1:28" ht="409.6" x14ac:dyDescent="0.3">
      <c r="A42" s="43" t="s">
        <v>96</v>
      </c>
      <c r="B42" s="43" t="s">
        <v>97</v>
      </c>
      <c r="C42" s="43" t="s">
        <v>98</v>
      </c>
      <c r="D42" s="43" t="s">
        <v>200</v>
      </c>
      <c r="E42" s="43" t="s">
        <v>164</v>
      </c>
      <c r="F42" s="43" t="s">
        <v>201</v>
      </c>
      <c r="G42" s="43" t="s">
        <v>202</v>
      </c>
      <c r="H42" s="43"/>
      <c r="I42" s="45" t="s">
        <v>203</v>
      </c>
      <c r="J42" s="10"/>
      <c r="K42" s="10"/>
      <c r="L42" s="10"/>
      <c r="M42" s="47" t="str">
        <f t="shared" si="0"/>
        <v>not answered/error</v>
      </c>
      <c r="N42" s="43"/>
      <c r="O42" s="43"/>
      <c r="P42" s="43"/>
      <c r="Q42" s="10"/>
      <c r="R42" s="10"/>
      <c r="S42" s="10"/>
      <c r="T42" s="10"/>
      <c r="U42" s="10"/>
      <c r="V42" s="10"/>
      <c r="W42" s="10"/>
      <c r="X42" s="10"/>
      <c r="Y42" s="10"/>
      <c r="Z42" s="10"/>
      <c r="AA42" s="10"/>
      <c r="AB42" s="10"/>
    </row>
    <row r="43" spans="1:28" ht="230.4" x14ac:dyDescent="0.3">
      <c r="A43" s="43" t="s">
        <v>96</v>
      </c>
      <c r="B43" s="43" t="s">
        <v>97</v>
      </c>
      <c r="C43" s="43" t="s">
        <v>98</v>
      </c>
      <c r="D43" s="43" t="s">
        <v>204</v>
      </c>
      <c r="E43" s="43" t="s">
        <v>164</v>
      </c>
      <c r="F43" s="43" t="s">
        <v>205</v>
      </c>
      <c r="G43" s="43" t="s">
        <v>206</v>
      </c>
      <c r="H43" s="43"/>
      <c r="I43" s="45" t="s">
        <v>203</v>
      </c>
      <c r="J43" s="9"/>
      <c r="K43" s="9"/>
      <c r="L43" s="9"/>
      <c r="M43" s="47" t="str">
        <f t="shared" si="0"/>
        <v>not answered/error</v>
      </c>
      <c r="N43" s="43"/>
      <c r="O43" s="43"/>
      <c r="P43" s="43"/>
      <c r="Q43" s="10"/>
      <c r="R43" s="10"/>
      <c r="S43" s="10"/>
      <c r="T43" s="10"/>
      <c r="U43" s="10"/>
      <c r="V43" s="10"/>
      <c r="W43" s="10"/>
      <c r="X43" s="10"/>
      <c r="Y43" s="10"/>
      <c r="Z43" s="10"/>
      <c r="AA43" s="10"/>
      <c r="AB43" s="10"/>
    </row>
    <row r="44" spans="1:28" ht="72" x14ac:dyDescent="0.3">
      <c r="A44" s="43" t="s">
        <v>96</v>
      </c>
      <c r="B44" s="43" t="s">
        <v>97</v>
      </c>
      <c r="C44" s="43" t="s">
        <v>98</v>
      </c>
      <c r="D44" s="43" t="s">
        <v>207</v>
      </c>
      <c r="E44" s="43" t="s">
        <v>164</v>
      </c>
      <c r="F44" s="43" t="s">
        <v>208</v>
      </c>
      <c r="G44" s="43" t="s">
        <v>209</v>
      </c>
      <c r="H44" s="43"/>
      <c r="I44" s="45" t="s">
        <v>203</v>
      </c>
      <c r="J44" s="10"/>
      <c r="K44" s="10"/>
      <c r="L44" s="10"/>
      <c r="M44" s="47" t="str">
        <f t="shared" si="0"/>
        <v>not answered/error</v>
      </c>
      <c r="N44" s="43"/>
      <c r="O44" s="43"/>
      <c r="P44" s="43"/>
      <c r="Q44" s="10"/>
      <c r="R44" s="10"/>
      <c r="S44" s="10"/>
      <c r="T44" s="10"/>
      <c r="U44" s="10"/>
      <c r="V44" s="10"/>
      <c r="W44" s="10"/>
      <c r="X44" s="10"/>
      <c r="Y44" s="10"/>
      <c r="Z44" s="10"/>
      <c r="AA44" s="10"/>
      <c r="AB44" s="10"/>
    </row>
    <row r="45" spans="1:28" ht="100.8" x14ac:dyDescent="0.3">
      <c r="A45" s="43" t="s">
        <v>96</v>
      </c>
      <c r="B45" s="43" t="s">
        <v>97</v>
      </c>
      <c r="C45" s="43" t="s">
        <v>98</v>
      </c>
      <c r="D45" s="43" t="s">
        <v>210</v>
      </c>
      <c r="E45" s="43" t="s">
        <v>164</v>
      </c>
      <c r="F45" s="43" t="s">
        <v>211</v>
      </c>
      <c r="G45" s="43" t="s">
        <v>212</v>
      </c>
      <c r="H45" s="43"/>
      <c r="I45" s="45" t="s">
        <v>203</v>
      </c>
      <c r="J45" s="10"/>
      <c r="K45" s="10"/>
      <c r="L45" s="10"/>
      <c r="M45" s="47" t="str">
        <f t="shared" si="0"/>
        <v>not answered/error</v>
      </c>
      <c r="N45" s="43"/>
      <c r="O45" s="43"/>
      <c r="P45" s="43"/>
      <c r="Q45" s="10" t="s">
        <v>1023</v>
      </c>
      <c r="R45" s="10"/>
      <c r="S45" s="10"/>
      <c r="T45" s="10"/>
      <c r="U45" s="10"/>
      <c r="V45" s="10"/>
      <c r="W45" s="10"/>
      <c r="X45" s="10"/>
      <c r="Y45" s="10"/>
      <c r="Z45" s="10"/>
      <c r="AA45" s="10"/>
      <c r="AB45" s="10"/>
    </row>
    <row r="46" spans="1:28" ht="57.6" x14ac:dyDescent="0.3">
      <c r="A46" s="43" t="s">
        <v>96</v>
      </c>
      <c r="B46" s="43" t="s">
        <v>97</v>
      </c>
      <c r="C46" s="43" t="s">
        <v>98</v>
      </c>
      <c r="D46" s="43" t="s">
        <v>213</v>
      </c>
      <c r="E46" s="43" t="s">
        <v>164</v>
      </c>
      <c r="F46" s="43" t="s">
        <v>214</v>
      </c>
      <c r="G46" s="43" t="s">
        <v>215</v>
      </c>
      <c r="H46" s="43"/>
      <c r="I46" s="45" t="s">
        <v>203</v>
      </c>
      <c r="J46" s="10"/>
      <c r="K46" s="10"/>
      <c r="L46" s="10"/>
      <c r="M46" s="47" t="str">
        <f t="shared" si="0"/>
        <v>not answered/error</v>
      </c>
      <c r="N46" s="43"/>
      <c r="O46" s="43"/>
      <c r="P46" s="43"/>
      <c r="Q46" s="10"/>
      <c r="R46" s="10"/>
      <c r="S46" s="10"/>
      <c r="T46" s="10"/>
      <c r="U46" s="10"/>
      <c r="V46" s="10"/>
      <c r="W46" s="10"/>
      <c r="X46" s="10"/>
      <c r="Y46" s="10"/>
      <c r="Z46" s="10"/>
      <c r="AA46" s="10"/>
      <c r="AB46" s="10"/>
    </row>
    <row r="47" spans="1:28" ht="230.4" x14ac:dyDescent="0.3">
      <c r="A47" s="43" t="s">
        <v>96</v>
      </c>
      <c r="B47" s="43" t="s">
        <v>97</v>
      </c>
      <c r="C47" s="43" t="s">
        <v>98</v>
      </c>
      <c r="D47" s="43" t="s">
        <v>216</v>
      </c>
      <c r="E47" s="43" t="s">
        <v>164</v>
      </c>
      <c r="F47" s="43" t="s">
        <v>217</v>
      </c>
      <c r="G47" s="43" t="s">
        <v>218</v>
      </c>
      <c r="H47" s="43"/>
      <c r="I47" s="44" t="s">
        <v>103</v>
      </c>
      <c r="J47" s="9"/>
      <c r="K47" s="9"/>
      <c r="L47" s="9"/>
      <c r="M47" s="47" t="str">
        <f t="shared" si="0"/>
        <v>not answered/error</v>
      </c>
      <c r="N47" s="43"/>
      <c r="O47" s="43"/>
      <c r="P47" s="43"/>
      <c r="Q47" s="10" t="s">
        <v>1024</v>
      </c>
      <c r="R47" s="10"/>
      <c r="S47" s="10"/>
      <c r="T47" s="10"/>
      <c r="U47" s="10"/>
      <c r="V47" s="10"/>
      <c r="W47" s="10"/>
      <c r="X47" s="10"/>
      <c r="Y47" s="10"/>
      <c r="Z47" s="10"/>
      <c r="AA47" s="10"/>
      <c r="AB47" s="10"/>
    </row>
    <row r="48" spans="1:28" ht="172.8" x14ac:dyDescent="0.3">
      <c r="A48" s="43" t="s">
        <v>96</v>
      </c>
      <c r="B48" s="43" t="s">
        <v>97</v>
      </c>
      <c r="C48" s="43" t="s">
        <v>98</v>
      </c>
      <c r="D48" s="43" t="s">
        <v>219</v>
      </c>
      <c r="E48" s="43" t="s">
        <v>164</v>
      </c>
      <c r="F48" s="43" t="s">
        <v>220</v>
      </c>
      <c r="G48" s="43" t="s">
        <v>221</v>
      </c>
      <c r="H48" s="43"/>
      <c r="I48" s="44" t="s">
        <v>103</v>
      </c>
      <c r="J48" s="9"/>
      <c r="K48" s="9"/>
      <c r="L48" s="9"/>
      <c r="M48" s="47" t="str">
        <f t="shared" si="0"/>
        <v>not answered/error</v>
      </c>
      <c r="N48" s="43"/>
      <c r="O48" s="43"/>
      <c r="P48" s="43"/>
      <c r="Q48" s="10"/>
      <c r="R48" s="10"/>
      <c r="S48" s="10"/>
      <c r="T48" s="10"/>
      <c r="U48" s="10"/>
      <c r="V48" s="10"/>
      <c r="W48" s="10"/>
      <c r="X48" s="10"/>
      <c r="Y48" s="10"/>
      <c r="Z48" s="10"/>
      <c r="AA48" s="10"/>
      <c r="AB48" s="10"/>
    </row>
    <row r="49" spans="1:28" ht="86.4" x14ac:dyDescent="0.3">
      <c r="A49" s="43" t="s">
        <v>96</v>
      </c>
      <c r="B49" s="43" t="s">
        <v>97</v>
      </c>
      <c r="C49" s="43" t="s">
        <v>98</v>
      </c>
      <c r="D49" s="43" t="s">
        <v>222</v>
      </c>
      <c r="E49" s="43" t="s">
        <v>164</v>
      </c>
      <c r="F49" s="43" t="s">
        <v>223</v>
      </c>
      <c r="G49" s="43" t="s">
        <v>224</v>
      </c>
      <c r="H49" s="43"/>
      <c r="I49" s="44" t="s">
        <v>103</v>
      </c>
      <c r="J49" s="10"/>
      <c r="K49" s="10"/>
      <c r="L49" s="10"/>
      <c r="M49" s="47" t="str">
        <f t="shared" si="0"/>
        <v>not answered/error</v>
      </c>
      <c r="N49" s="43"/>
      <c r="O49" s="43"/>
      <c r="P49" s="43"/>
      <c r="Q49" s="10" t="s">
        <v>1025</v>
      </c>
      <c r="R49" s="10"/>
      <c r="S49" s="10"/>
      <c r="T49" s="10"/>
      <c r="U49" s="10"/>
      <c r="V49" s="10"/>
      <c r="W49" s="10"/>
      <c r="X49" s="10"/>
      <c r="Y49" s="10"/>
      <c r="Z49" s="10"/>
      <c r="AA49" s="10"/>
      <c r="AB49" s="10"/>
    </row>
    <row r="50" spans="1:28" ht="374.4" x14ac:dyDescent="0.3">
      <c r="A50" s="43" t="s">
        <v>96</v>
      </c>
      <c r="B50" s="43" t="s">
        <v>97</v>
      </c>
      <c r="C50" s="43" t="s">
        <v>98</v>
      </c>
      <c r="D50" s="43" t="s">
        <v>225</v>
      </c>
      <c r="E50" s="43" t="s">
        <v>164</v>
      </c>
      <c r="F50" s="43" t="s">
        <v>226</v>
      </c>
      <c r="G50" s="43" t="s">
        <v>227</v>
      </c>
      <c r="H50" s="43"/>
      <c r="I50" s="44" t="s">
        <v>103</v>
      </c>
      <c r="J50" s="10"/>
      <c r="K50" s="10"/>
      <c r="L50" s="10"/>
      <c r="M50" s="47" t="str">
        <f t="shared" si="0"/>
        <v>not answered/error</v>
      </c>
      <c r="N50" s="43"/>
      <c r="O50" s="43"/>
      <c r="P50" s="43"/>
      <c r="Q50" s="10" t="s">
        <v>1026</v>
      </c>
      <c r="R50" s="10"/>
      <c r="S50" s="10"/>
      <c r="T50" s="10"/>
      <c r="U50" s="10"/>
      <c r="V50" s="10"/>
      <c r="W50" s="10"/>
      <c r="X50" s="10"/>
      <c r="Y50" s="10"/>
      <c r="Z50" s="10"/>
      <c r="AA50" s="10"/>
      <c r="AB50" s="10"/>
    </row>
    <row r="51" spans="1:28" ht="230.4" x14ac:dyDescent="0.3">
      <c r="A51" s="43" t="s">
        <v>96</v>
      </c>
      <c r="B51" s="43" t="s">
        <v>97</v>
      </c>
      <c r="C51" s="43" t="s">
        <v>98</v>
      </c>
      <c r="D51" s="43" t="s">
        <v>228</v>
      </c>
      <c r="E51" s="43" t="s">
        <v>164</v>
      </c>
      <c r="F51" s="43" t="s">
        <v>229</v>
      </c>
      <c r="G51" s="43" t="s">
        <v>230</v>
      </c>
      <c r="H51" s="43"/>
      <c r="I51" s="44" t="s">
        <v>103</v>
      </c>
      <c r="J51" s="10"/>
      <c r="K51" s="10"/>
      <c r="L51" s="10"/>
      <c r="M51" s="47" t="str">
        <f t="shared" si="0"/>
        <v>not answered/error</v>
      </c>
      <c r="N51" s="43"/>
      <c r="O51" s="43"/>
      <c r="P51" s="43"/>
      <c r="Q51" s="10" t="s">
        <v>1027</v>
      </c>
      <c r="R51" s="10"/>
      <c r="S51" s="10"/>
      <c r="T51" s="10"/>
      <c r="U51" s="10"/>
      <c r="V51" s="10"/>
      <c r="W51" s="10"/>
      <c r="X51" s="10"/>
      <c r="Y51" s="10"/>
      <c r="Z51" s="10"/>
      <c r="AA51" s="10"/>
      <c r="AB51" s="10"/>
    </row>
    <row r="52" spans="1:28" ht="43.2" x14ac:dyDescent="0.3">
      <c r="A52" s="43" t="s">
        <v>96</v>
      </c>
      <c r="B52" s="43" t="s">
        <v>97</v>
      </c>
      <c r="C52" s="43" t="s">
        <v>98</v>
      </c>
      <c r="D52" s="43" t="s">
        <v>231</v>
      </c>
      <c r="E52" s="43" t="s">
        <v>164</v>
      </c>
      <c r="F52" s="43" t="s">
        <v>232</v>
      </c>
      <c r="G52" s="43" t="s">
        <v>233</v>
      </c>
      <c r="H52" s="43"/>
      <c r="I52" s="45" t="s">
        <v>203</v>
      </c>
      <c r="J52" s="10"/>
      <c r="K52" s="10"/>
      <c r="L52" s="10"/>
      <c r="M52" s="47" t="str">
        <f t="shared" si="0"/>
        <v>not answered/error</v>
      </c>
      <c r="N52" s="43"/>
      <c r="O52" s="43"/>
      <c r="P52" s="43"/>
      <c r="Q52" s="10"/>
      <c r="R52" s="10"/>
      <c r="S52" s="10"/>
      <c r="T52" s="10"/>
      <c r="U52" s="10"/>
      <c r="V52" s="10"/>
      <c r="W52" s="10"/>
      <c r="X52" s="10"/>
      <c r="Y52" s="10"/>
      <c r="Z52" s="10"/>
      <c r="AA52" s="10"/>
      <c r="AB52" s="10"/>
    </row>
    <row r="53" spans="1:28" ht="259.2" x14ac:dyDescent="0.3">
      <c r="A53" s="43" t="s">
        <v>96</v>
      </c>
      <c r="B53" s="43" t="s">
        <v>97</v>
      </c>
      <c r="C53" s="43" t="s">
        <v>98</v>
      </c>
      <c r="D53" s="43" t="s">
        <v>234</v>
      </c>
      <c r="E53" s="43" t="s">
        <v>164</v>
      </c>
      <c r="F53" s="43" t="s">
        <v>235</v>
      </c>
      <c r="G53" s="43" t="s">
        <v>236</v>
      </c>
      <c r="H53" s="43"/>
      <c r="I53" s="44" t="s">
        <v>103</v>
      </c>
      <c r="J53" s="9"/>
      <c r="K53" s="9"/>
      <c r="L53" s="9"/>
      <c r="M53" s="47" t="str">
        <f t="shared" si="0"/>
        <v>not answered/error</v>
      </c>
      <c r="N53" s="43"/>
      <c r="O53" s="43"/>
      <c r="P53" s="43"/>
      <c r="Q53" s="10" t="s">
        <v>1028</v>
      </c>
      <c r="R53" s="10"/>
      <c r="S53" s="10"/>
      <c r="T53" s="10"/>
      <c r="U53" s="10"/>
      <c r="V53" s="10"/>
      <c r="W53" s="10"/>
      <c r="X53" s="10"/>
      <c r="Y53" s="10"/>
      <c r="Z53" s="10"/>
      <c r="AA53" s="10"/>
      <c r="AB53" s="10"/>
    </row>
    <row r="54" spans="1:28" ht="403.2" x14ac:dyDescent="0.3">
      <c r="A54" s="43" t="s">
        <v>96</v>
      </c>
      <c r="B54" s="43" t="s">
        <v>97</v>
      </c>
      <c r="C54" s="43" t="s">
        <v>98</v>
      </c>
      <c r="D54" s="43" t="s">
        <v>237</v>
      </c>
      <c r="E54" s="43" t="s">
        <v>238</v>
      </c>
      <c r="F54" s="43" t="s">
        <v>239</v>
      </c>
      <c r="G54" s="43" t="s">
        <v>240</v>
      </c>
      <c r="H54" s="43"/>
      <c r="I54" s="44" t="s">
        <v>103</v>
      </c>
      <c r="J54" s="10"/>
      <c r="K54" s="10"/>
      <c r="L54" s="10"/>
      <c r="M54" s="47" t="str">
        <f t="shared" si="0"/>
        <v>not answered/error</v>
      </c>
      <c r="N54" s="43"/>
      <c r="O54" s="43"/>
      <c r="P54" s="43"/>
      <c r="Q54" s="10" t="s">
        <v>1029</v>
      </c>
      <c r="R54" s="10"/>
      <c r="S54" s="10"/>
      <c r="T54" s="10"/>
      <c r="U54" s="10"/>
      <c r="V54" s="10"/>
      <c r="W54" s="10"/>
      <c r="X54" s="10"/>
      <c r="Y54" s="10"/>
      <c r="Z54" s="10"/>
      <c r="AA54" s="10"/>
      <c r="AB54" s="10"/>
    </row>
    <row r="55" spans="1:28" ht="187.2" x14ac:dyDescent="0.3">
      <c r="A55" s="43" t="s">
        <v>96</v>
      </c>
      <c r="B55" s="43" t="s">
        <v>97</v>
      </c>
      <c r="C55" s="43" t="s">
        <v>98</v>
      </c>
      <c r="D55" s="43" t="s">
        <v>241</v>
      </c>
      <c r="E55" s="43" t="s">
        <v>242</v>
      </c>
      <c r="F55" s="43" t="s">
        <v>243</v>
      </c>
      <c r="G55" s="43" t="s">
        <v>244</v>
      </c>
      <c r="H55" s="43"/>
      <c r="I55" s="44" t="s">
        <v>103</v>
      </c>
      <c r="J55" s="10"/>
      <c r="K55" s="10"/>
      <c r="L55" s="10"/>
      <c r="M55" s="47" t="str">
        <f t="shared" si="0"/>
        <v>not answered/error</v>
      </c>
      <c r="N55" s="43"/>
      <c r="O55" s="43"/>
      <c r="P55" s="43"/>
      <c r="Q55" s="10" t="s">
        <v>1030</v>
      </c>
      <c r="R55" s="10"/>
      <c r="S55" s="10"/>
      <c r="T55" s="10"/>
      <c r="U55" s="10"/>
      <c r="V55" s="10"/>
      <c r="W55" s="10"/>
      <c r="X55" s="10"/>
      <c r="Y55" s="10"/>
      <c r="Z55" s="10"/>
      <c r="AA55" s="10"/>
      <c r="AB55" s="10"/>
    </row>
    <row r="56" spans="1:28" ht="172.8" x14ac:dyDescent="0.3">
      <c r="A56" s="43" t="s">
        <v>96</v>
      </c>
      <c r="B56" s="43" t="s">
        <v>97</v>
      </c>
      <c r="C56" s="43" t="s">
        <v>98</v>
      </c>
      <c r="D56" s="43" t="s">
        <v>245</v>
      </c>
      <c r="E56" s="43" t="s">
        <v>242</v>
      </c>
      <c r="F56" s="43" t="s">
        <v>246</v>
      </c>
      <c r="G56" s="43" t="s">
        <v>247</v>
      </c>
      <c r="H56" s="43"/>
      <c r="I56" s="44" t="s">
        <v>103</v>
      </c>
      <c r="J56" s="10"/>
      <c r="K56" s="10"/>
      <c r="L56" s="10"/>
      <c r="M56" s="47" t="str">
        <f t="shared" si="0"/>
        <v>not answered/error</v>
      </c>
      <c r="N56" s="43"/>
      <c r="O56" s="43"/>
      <c r="P56" s="43"/>
      <c r="Q56" s="10" t="s">
        <v>1031</v>
      </c>
      <c r="R56" s="10"/>
      <c r="S56" s="10"/>
      <c r="T56" s="10"/>
      <c r="U56" s="10"/>
      <c r="V56" s="10"/>
      <c r="W56" s="10"/>
      <c r="X56" s="10"/>
      <c r="Y56" s="10"/>
      <c r="Z56" s="10"/>
      <c r="AA56" s="10"/>
      <c r="AB56" s="10"/>
    </row>
    <row r="57" spans="1:28" ht="57.6" x14ac:dyDescent="0.3">
      <c r="A57" s="43" t="s">
        <v>96</v>
      </c>
      <c r="B57" s="43" t="s">
        <v>97</v>
      </c>
      <c r="C57" s="43" t="s">
        <v>98</v>
      </c>
      <c r="D57" s="43" t="s">
        <v>248</v>
      </c>
      <c r="E57" s="43" t="s">
        <v>242</v>
      </c>
      <c r="F57" s="43" t="s">
        <v>249</v>
      </c>
      <c r="G57" s="43" t="s">
        <v>250</v>
      </c>
      <c r="H57" s="43"/>
      <c r="I57" s="44" t="s">
        <v>103</v>
      </c>
      <c r="J57" s="10"/>
      <c r="K57" s="10"/>
      <c r="L57" s="10"/>
      <c r="M57" s="47" t="str">
        <f t="shared" si="0"/>
        <v>not answered/error</v>
      </c>
      <c r="N57" s="43"/>
      <c r="O57" s="43"/>
      <c r="P57" s="43"/>
      <c r="Q57" s="10"/>
      <c r="R57" s="10"/>
      <c r="S57" s="10"/>
      <c r="T57" s="10"/>
      <c r="U57" s="10"/>
      <c r="V57" s="10"/>
      <c r="W57" s="10"/>
      <c r="X57" s="10"/>
      <c r="Y57" s="10"/>
      <c r="Z57" s="10"/>
      <c r="AA57" s="10"/>
      <c r="AB57" s="10"/>
    </row>
    <row r="58" spans="1:28" ht="100.8" x14ac:dyDescent="0.3">
      <c r="A58" s="43" t="s">
        <v>96</v>
      </c>
      <c r="B58" s="43" t="s">
        <v>97</v>
      </c>
      <c r="C58" s="43" t="s">
        <v>98</v>
      </c>
      <c r="D58" s="43" t="s">
        <v>251</v>
      </c>
      <c r="E58" s="43" t="s">
        <v>242</v>
      </c>
      <c r="F58" s="43" t="s">
        <v>252</v>
      </c>
      <c r="G58" s="43" t="s">
        <v>253</v>
      </c>
      <c r="H58" s="43"/>
      <c r="I58" s="45" t="s">
        <v>203</v>
      </c>
      <c r="J58" s="10"/>
      <c r="K58" s="10"/>
      <c r="L58" s="10"/>
      <c r="M58" s="47" t="str">
        <f t="shared" si="0"/>
        <v>not answered/error</v>
      </c>
      <c r="N58" s="43"/>
      <c r="O58" s="43"/>
      <c r="P58" s="43"/>
      <c r="Q58" s="10"/>
      <c r="R58" s="10"/>
      <c r="S58" s="10"/>
      <c r="T58" s="10"/>
      <c r="U58" s="10"/>
      <c r="V58" s="10"/>
      <c r="W58" s="10"/>
      <c r="X58" s="10"/>
      <c r="Y58" s="10"/>
      <c r="Z58" s="10"/>
      <c r="AA58" s="10"/>
      <c r="AB58" s="10"/>
    </row>
    <row r="59" spans="1:28" ht="409.6" x14ac:dyDescent="0.3">
      <c r="A59" s="43" t="s">
        <v>96</v>
      </c>
      <c r="B59" s="43" t="s">
        <v>97</v>
      </c>
      <c r="C59" s="43" t="s">
        <v>98</v>
      </c>
      <c r="D59" s="43" t="s">
        <v>254</v>
      </c>
      <c r="E59" s="43" t="s">
        <v>242</v>
      </c>
      <c r="F59" s="43" t="s">
        <v>255</v>
      </c>
      <c r="G59" s="43" t="s">
        <v>256</v>
      </c>
      <c r="H59" s="43"/>
      <c r="I59" s="44" t="s">
        <v>103</v>
      </c>
      <c r="J59" s="9"/>
      <c r="K59" s="9"/>
      <c r="L59" s="9"/>
      <c r="M59" s="47" t="str">
        <f t="shared" si="0"/>
        <v>not answered/error</v>
      </c>
      <c r="N59" s="43"/>
      <c r="O59" s="43"/>
      <c r="P59" s="43"/>
      <c r="Q59" s="10" t="s">
        <v>1032</v>
      </c>
      <c r="R59" s="10"/>
      <c r="S59" s="10"/>
      <c r="T59" s="10"/>
      <c r="U59" s="10"/>
      <c r="V59" s="10"/>
      <c r="W59" s="10"/>
      <c r="X59" s="10"/>
      <c r="Y59" s="10"/>
      <c r="Z59" s="10"/>
      <c r="AA59" s="10"/>
      <c r="AB59" s="10"/>
    </row>
    <row r="60" spans="1:28" ht="244.8" x14ac:dyDescent="0.3">
      <c r="A60" s="43" t="s">
        <v>96</v>
      </c>
      <c r="B60" s="43" t="s">
        <v>97</v>
      </c>
      <c r="C60" s="43" t="s">
        <v>98</v>
      </c>
      <c r="D60" s="43" t="s">
        <v>257</v>
      </c>
      <c r="E60" s="43" t="s">
        <v>242</v>
      </c>
      <c r="F60" s="43" t="s">
        <v>258</v>
      </c>
      <c r="G60" s="43" t="s">
        <v>259</v>
      </c>
      <c r="H60" s="43"/>
      <c r="I60" s="44" t="s">
        <v>103</v>
      </c>
      <c r="J60" s="9"/>
      <c r="K60" s="9"/>
      <c r="L60" s="9"/>
      <c r="M60" s="47" t="str">
        <f t="shared" si="0"/>
        <v>not answered/error</v>
      </c>
      <c r="N60" s="43"/>
      <c r="O60" s="43"/>
      <c r="P60" s="43"/>
      <c r="Q60" s="10" t="s">
        <v>1032</v>
      </c>
      <c r="R60" s="10"/>
      <c r="S60" s="10"/>
      <c r="T60" s="10"/>
      <c r="U60" s="10"/>
      <c r="V60" s="10"/>
      <c r="W60" s="10"/>
      <c r="X60" s="10"/>
      <c r="Y60" s="10"/>
      <c r="Z60" s="10"/>
      <c r="AA60" s="10"/>
      <c r="AB60" s="10"/>
    </row>
    <row r="61" spans="1:28" ht="273.60000000000002" x14ac:dyDescent="0.3">
      <c r="A61" s="43" t="s">
        <v>96</v>
      </c>
      <c r="B61" s="43" t="s">
        <v>97</v>
      </c>
      <c r="C61" s="43" t="s">
        <v>98</v>
      </c>
      <c r="D61" s="43" t="s">
        <v>260</v>
      </c>
      <c r="E61" s="43" t="s">
        <v>242</v>
      </c>
      <c r="F61" s="43" t="s">
        <v>261</v>
      </c>
      <c r="G61" s="43" t="s">
        <v>262</v>
      </c>
      <c r="H61" s="43"/>
      <c r="I61" s="44" t="s">
        <v>103</v>
      </c>
      <c r="J61" s="10"/>
      <c r="K61" s="10"/>
      <c r="L61" s="10"/>
      <c r="M61" s="47" t="str">
        <f t="shared" si="0"/>
        <v>not answered/error</v>
      </c>
      <c r="N61" s="43"/>
      <c r="O61" s="43"/>
      <c r="P61" s="43"/>
      <c r="Q61" s="10" t="s">
        <v>1033</v>
      </c>
      <c r="R61" s="10"/>
      <c r="S61" s="10"/>
      <c r="T61" s="10"/>
      <c r="U61" s="10"/>
      <c r="V61" s="10"/>
      <c r="W61" s="10"/>
      <c r="X61" s="10"/>
      <c r="Y61" s="10"/>
      <c r="Z61" s="10"/>
      <c r="AA61" s="10"/>
      <c r="AB61" s="10"/>
    </row>
    <row r="62" spans="1:28" ht="72" x14ac:dyDescent="0.3">
      <c r="A62" s="43" t="s">
        <v>96</v>
      </c>
      <c r="B62" s="43" t="s">
        <v>97</v>
      </c>
      <c r="C62" s="43" t="s">
        <v>98</v>
      </c>
      <c r="D62" s="43" t="s">
        <v>263</v>
      </c>
      <c r="E62" s="43" t="s">
        <v>242</v>
      </c>
      <c r="F62" s="43" t="s">
        <v>264</v>
      </c>
      <c r="G62" s="43" t="s">
        <v>265</v>
      </c>
      <c r="H62" s="43"/>
      <c r="I62" s="46" t="s">
        <v>266</v>
      </c>
      <c r="J62" s="10"/>
      <c r="K62" s="10"/>
      <c r="L62" s="10"/>
      <c r="M62" s="47" t="str">
        <f t="shared" si="0"/>
        <v>not answered/error</v>
      </c>
      <c r="N62" s="43"/>
      <c r="O62" s="43"/>
      <c r="P62" s="43"/>
      <c r="Q62" s="10"/>
      <c r="R62" s="10"/>
      <c r="S62" s="10"/>
      <c r="T62" s="10"/>
      <c r="U62" s="10"/>
      <c r="V62" s="10"/>
      <c r="W62" s="10"/>
      <c r="X62" s="10"/>
      <c r="Y62" s="10"/>
      <c r="Z62" s="10"/>
      <c r="AA62" s="10"/>
      <c r="AB62" s="10"/>
    </row>
    <row r="63" spans="1:28" ht="115.2" x14ac:dyDescent="0.3">
      <c r="A63" s="43" t="s">
        <v>96</v>
      </c>
      <c r="B63" s="43" t="s">
        <v>97</v>
      </c>
      <c r="C63" s="43" t="s">
        <v>98</v>
      </c>
      <c r="D63" s="43" t="s">
        <v>267</v>
      </c>
      <c r="E63" s="43" t="s">
        <v>242</v>
      </c>
      <c r="F63" s="43" t="s">
        <v>268</v>
      </c>
      <c r="G63" s="43" t="s">
        <v>269</v>
      </c>
      <c r="H63" s="43"/>
      <c r="I63" s="44" t="s">
        <v>103</v>
      </c>
      <c r="J63" s="10"/>
      <c r="K63" s="10"/>
      <c r="L63" s="10"/>
      <c r="M63" s="47" t="str">
        <f t="shared" si="0"/>
        <v>not answered/error</v>
      </c>
      <c r="N63" s="43"/>
      <c r="O63" s="43"/>
      <c r="P63" s="43"/>
      <c r="Q63" s="10" t="s">
        <v>1034</v>
      </c>
      <c r="R63" s="10"/>
      <c r="S63" s="10"/>
      <c r="T63" s="10"/>
      <c r="U63" s="10"/>
      <c r="V63" s="10"/>
      <c r="W63" s="10"/>
      <c r="X63" s="10"/>
      <c r="Y63" s="10"/>
      <c r="Z63" s="10"/>
      <c r="AA63" s="10"/>
      <c r="AB63" s="10"/>
    </row>
    <row r="64" spans="1:28" ht="86.4" x14ac:dyDescent="0.3">
      <c r="A64" s="43" t="s">
        <v>96</v>
      </c>
      <c r="B64" s="43" t="s">
        <v>97</v>
      </c>
      <c r="C64" s="43" t="s">
        <v>98</v>
      </c>
      <c r="D64" s="43" t="s">
        <v>270</v>
      </c>
      <c r="E64" s="43" t="s">
        <v>242</v>
      </c>
      <c r="F64" s="43" t="s">
        <v>271</v>
      </c>
      <c r="G64" s="43" t="s">
        <v>272</v>
      </c>
      <c r="H64" s="43"/>
      <c r="I64" s="44" t="s">
        <v>103</v>
      </c>
      <c r="J64" s="10"/>
      <c r="K64" s="10"/>
      <c r="L64" s="10"/>
      <c r="M64" s="47" t="str">
        <f t="shared" si="0"/>
        <v>not answered/error</v>
      </c>
      <c r="N64" s="43"/>
      <c r="O64" s="43"/>
      <c r="P64" s="43"/>
      <c r="Q64" s="10"/>
      <c r="R64" s="10"/>
      <c r="S64" s="10"/>
      <c r="T64" s="10"/>
      <c r="U64" s="10"/>
      <c r="V64" s="10"/>
      <c r="W64" s="10"/>
      <c r="X64" s="10"/>
      <c r="Y64" s="10"/>
      <c r="Z64" s="10"/>
      <c r="AA64" s="10"/>
      <c r="AB64" s="10"/>
    </row>
    <row r="65" spans="1:28" ht="230.4" x14ac:dyDescent="0.3">
      <c r="A65" s="43" t="s">
        <v>96</v>
      </c>
      <c r="B65" s="43" t="s">
        <v>97</v>
      </c>
      <c r="C65" s="43" t="s">
        <v>98</v>
      </c>
      <c r="D65" s="43" t="s">
        <v>273</v>
      </c>
      <c r="E65" s="43" t="s">
        <v>242</v>
      </c>
      <c r="F65" s="43" t="s">
        <v>274</v>
      </c>
      <c r="G65" s="43" t="s">
        <v>275</v>
      </c>
      <c r="H65" s="43"/>
      <c r="I65" s="44" t="s">
        <v>103</v>
      </c>
      <c r="J65" s="10"/>
      <c r="K65" s="10"/>
      <c r="L65" s="10"/>
      <c r="M65" s="47" t="str">
        <f t="shared" si="0"/>
        <v>not answered/error</v>
      </c>
      <c r="N65" s="43"/>
      <c r="O65" s="43"/>
      <c r="P65" s="43"/>
      <c r="Q65" s="10" t="s">
        <v>1035</v>
      </c>
      <c r="R65" s="10"/>
      <c r="S65" s="10"/>
      <c r="T65" s="10"/>
      <c r="U65" s="10"/>
      <c r="V65" s="10"/>
      <c r="W65" s="10"/>
      <c r="X65" s="10"/>
      <c r="Y65" s="10"/>
      <c r="Z65" s="10"/>
      <c r="AA65" s="10"/>
      <c r="AB65" s="10"/>
    </row>
    <row r="66" spans="1:28" ht="43.2" x14ac:dyDescent="0.3">
      <c r="A66" s="43" t="s">
        <v>96</v>
      </c>
      <c r="B66" s="43" t="s">
        <v>97</v>
      </c>
      <c r="C66" s="43" t="s">
        <v>98</v>
      </c>
      <c r="D66" s="43" t="s">
        <v>276</v>
      </c>
      <c r="E66" s="43" t="s">
        <v>242</v>
      </c>
      <c r="F66" s="43" t="s">
        <v>277</v>
      </c>
      <c r="G66" s="43" t="s">
        <v>278</v>
      </c>
      <c r="H66" s="43"/>
      <c r="I66" s="46" t="s">
        <v>266</v>
      </c>
      <c r="J66" s="10"/>
      <c r="K66" s="10"/>
      <c r="L66" s="10"/>
      <c r="M66" s="47" t="str">
        <f t="shared" si="0"/>
        <v>not answered/error</v>
      </c>
      <c r="N66" s="43"/>
      <c r="O66" s="43"/>
      <c r="P66" s="43"/>
      <c r="Q66" s="10"/>
      <c r="R66" s="10"/>
      <c r="S66" s="10"/>
      <c r="T66" s="10"/>
      <c r="U66" s="10"/>
      <c r="V66" s="10"/>
      <c r="W66" s="10"/>
      <c r="X66" s="10"/>
      <c r="Y66" s="10"/>
      <c r="Z66" s="10"/>
      <c r="AA66" s="10"/>
      <c r="AB66" s="10"/>
    </row>
    <row r="67" spans="1:28" ht="72" x14ac:dyDescent="0.3">
      <c r="A67" s="43" t="s">
        <v>96</v>
      </c>
      <c r="B67" s="43" t="s">
        <v>97</v>
      </c>
      <c r="C67" s="43" t="s">
        <v>98</v>
      </c>
      <c r="D67" s="43" t="s">
        <v>279</v>
      </c>
      <c r="E67" s="43" t="s">
        <v>242</v>
      </c>
      <c r="F67" s="43" t="s">
        <v>280</v>
      </c>
      <c r="G67" s="43" t="s">
        <v>281</v>
      </c>
      <c r="H67" s="43"/>
      <c r="I67" s="44" t="s">
        <v>103</v>
      </c>
      <c r="J67" s="10"/>
      <c r="K67" s="10"/>
      <c r="L67" s="10"/>
      <c r="M67" s="47" t="str">
        <f t="shared" si="0"/>
        <v>not answered/error</v>
      </c>
      <c r="N67" s="43"/>
      <c r="O67" s="43"/>
      <c r="P67" s="43"/>
      <c r="Q67" s="10" t="s">
        <v>1036</v>
      </c>
      <c r="R67" s="10"/>
      <c r="S67" s="10"/>
      <c r="T67" s="10"/>
      <c r="U67" s="10"/>
      <c r="V67" s="10"/>
      <c r="W67" s="10"/>
      <c r="X67" s="10"/>
      <c r="Y67" s="10"/>
      <c r="Z67" s="10"/>
      <c r="AA67" s="10"/>
      <c r="AB67" s="10"/>
    </row>
    <row r="68" spans="1:28" ht="115.2" x14ac:dyDescent="0.3">
      <c r="A68" s="43" t="s">
        <v>96</v>
      </c>
      <c r="B68" s="43" t="s">
        <v>97</v>
      </c>
      <c r="C68" s="43" t="s">
        <v>98</v>
      </c>
      <c r="D68" s="43" t="s">
        <v>282</v>
      </c>
      <c r="E68" s="43" t="s">
        <v>242</v>
      </c>
      <c r="F68" s="43" t="s">
        <v>283</v>
      </c>
      <c r="G68" s="43" t="s">
        <v>284</v>
      </c>
      <c r="H68" s="43"/>
      <c r="I68" s="44" t="s">
        <v>103</v>
      </c>
      <c r="J68" s="10"/>
      <c r="K68" s="10"/>
      <c r="L68" s="10"/>
      <c r="M68" s="47" t="str">
        <f t="shared" si="0"/>
        <v>not answered/error</v>
      </c>
      <c r="N68" s="43"/>
      <c r="O68" s="43"/>
      <c r="P68" s="43"/>
      <c r="Q68" s="10" t="s">
        <v>1037</v>
      </c>
      <c r="R68" s="10"/>
      <c r="S68" s="10"/>
      <c r="T68" s="10"/>
      <c r="U68" s="10"/>
      <c r="V68" s="10"/>
      <c r="W68" s="10"/>
      <c r="X68" s="10"/>
      <c r="Y68" s="10"/>
      <c r="Z68" s="10"/>
      <c r="AA68" s="10"/>
      <c r="AB68" s="10"/>
    </row>
    <row r="69" spans="1:28" ht="115.2" x14ac:dyDescent="0.3">
      <c r="A69" s="43" t="s">
        <v>96</v>
      </c>
      <c r="B69" s="43" t="s">
        <v>97</v>
      </c>
      <c r="C69" s="43" t="s">
        <v>98</v>
      </c>
      <c r="D69" s="43" t="s">
        <v>285</v>
      </c>
      <c r="E69" s="43" t="s">
        <v>286</v>
      </c>
      <c r="F69" s="43" t="s">
        <v>287</v>
      </c>
      <c r="G69" s="43" t="s">
        <v>288</v>
      </c>
      <c r="H69" s="43"/>
      <c r="I69" s="44" t="s">
        <v>103</v>
      </c>
      <c r="J69" s="10"/>
      <c r="K69" s="10"/>
      <c r="L69" s="10"/>
      <c r="M69" s="47" t="str">
        <f t="shared" si="0"/>
        <v>not answered/error</v>
      </c>
      <c r="N69" s="43"/>
      <c r="O69" s="43"/>
      <c r="P69" s="43"/>
      <c r="Q69" s="10"/>
      <c r="R69" s="10"/>
      <c r="S69" s="10"/>
      <c r="T69" s="10"/>
      <c r="U69" s="10"/>
      <c r="V69" s="10"/>
      <c r="W69" s="10"/>
      <c r="X69" s="10"/>
      <c r="Y69" s="10"/>
      <c r="Z69" s="10"/>
      <c r="AA69" s="10"/>
      <c r="AB69" s="10"/>
    </row>
    <row r="70" spans="1:28" ht="230.4" x14ac:dyDescent="0.3">
      <c r="A70" s="43" t="s">
        <v>96</v>
      </c>
      <c r="B70" s="43" t="s">
        <v>97</v>
      </c>
      <c r="C70" s="43" t="s">
        <v>98</v>
      </c>
      <c r="D70" s="43" t="s">
        <v>289</v>
      </c>
      <c r="E70" s="43" t="s">
        <v>286</v>
      </c>
      <c r="F70" s="43" t="s">
        <v>290</v>
      </c>
      <c r="G70" s="43" t="s">
        <v>291</v>
      </c>
      <c r="H70" s="43"/>
      <c r="I70" s="46" t="s">
        <v>266</v>
      </c>
      <c r="J70" s="10"/>
      <c r="K70" s="10"/>
      <c r="L70" s="10"/>
      <c r="M70" s="47" t="str">
        <f t="shared" si="0"/>
        <v>not answered/error</v>
      </c>
      <c r="N70" s="43"/>
      <c r="O70" s="43"/>
      <c r="P70" s="43"/>
      <c r="Q70" s="10"/>
      <c r="R70" s="10"/>
      <c r="S70" s="10"/>
      <c r="T70" s="10"/>
      <c r="U70" s="10"/>
      <c r="V70" s="10"/>
      <c r="W70" s="10"/>
      <c r="X70" s="10"/>
      <c r="Y70" s="10"/>
      <c r="Z70" s="10"/>
      <c r="AA70" s="10"/>
      <c r="AB70" s="10"/>
    </row>
    <row r="71" spans="1:28" ht="86.4" x14ac:dyDescent="0.3">
      <c r="A71" s="43" t="s">
        <v>96</v>
      </c>
      <c r="B71" s="43" t="s">
        <v>97</v>
      </c>
      <c r="C71" s="43" t="s">
        <v>98</v>
      </c>
      <c r="D71" s="43" t="s">
        <v>292</v>
      </c>
      <c r="E71" s="43" t="s">
        <v>286</v>
      </c>
      <c r="F71" s="43" t="s">
        <v>293</v>
      </c>
      <c r="G71" s="43" t="s">
        <v>294</v>
      </c>
      <c r="H71" s="43"/>
      <c r="I71" s="44" t="s">
        <v>103</v>
      </c>
      <c r="J71" s="10"/>
      <c r="K71" s="10"/>
      <c r="L71" s="10"/>
      <c r="M71" s="47" t="str">
        <f t="shared" si="0"/>
        <v>not answered/error</v>
      </c>
      <c r="N71" s="43"/>
      <c r="O71" s="43"/>
      <c r="P71" s="43"/>
      <c r="Q71" s="10" t="s">
        <v>1006</v>
      </c>
      <c r="R71" s="10"/>
      <c r="S71" s="10"/>
      <c r="T71" s="10"/>
      <c r="U71" s="10"/>
      <c r="V71" s="10"/>
      <c r="W71" s="10"/>
      <c r="X71" s="10"/>
      <c r="Y71" s="10"/>
      <c r="Z71" s="10"/>
      <c r="AA71" s="10"/>
      <c r="AB71" s="10"/>
    </row>
    <row r="72" spans="1:28" ht="72" x14ac:dyDescent="0.3">
      <c r="A72" s="43" t="s">
        <v>96</v>
      </c>
      <c r="B72" s="43" t="s">
        <v>97</v>
      </c>
      <c r="C72" s="43" t="s">
        <v>98</v>
      </c>
      <c r="D72" s="43" t="s">
        <v>295</v>
      </c>
      <c r="E72" s="43" t="s">
        <v>286</v>
      </c>
      <c r="F72" s="43" t="s">
        <v>296</v>
      </c>
      <c r="G72" s="43" t="s">
        <v>297</v>
      </c>
      <c r="H72" s="43"/>
      <c r="I72" s="44" t="s">
        <v>103</v>
      </c>
      <c r="J72" s="10"/>
      <c r="K72" s="10"/>
      <c r="L72" s="10"/>
      <c r="M72" s="47" t="str">
        <f t="shared" si="0"/>
        <v>not answered/error</v>
      </c>
      <c r="N72" s="43"/>
      <c r="O72" s="43"/>
      <c r="P72" s="43"/>
      <c r="Q72" s="10"/>
      <c r="R72" s="10"/>
      <c r="S72" s="10"/>
      <c r="T72" s="10"/>
      <c r="U72" s="10"/>
      <c r="V72" s="10"/>
      <c r="W72" s="10"/>
      <c r="X72" s="10"/>
      <c r="Y72" s="10"/>
      <c r="Z72" s="10"/>
      <c r="AA72" s="10"/>
      <c r="AB72" s="10"/>
    </row>
    <row r="73" spans="1:28" ht="288" x14ac:dyDescent="0.3">
      <c r="A73" s="43" t="s">
        <v>96</v>
      </c>
      <c r="B73" s="43" t="s">
        <v>97</v>
      </c>
      <c r="C73" s="43" t="s">
        <v>98</v>
      </c>
      <c r="D73" s="43" t="s">
        <v>298</v>
      </c>
      <c r="E73" s="43" t="s">
        <v>286</v>
      </c>
      <c r="F73" s="43" t="s">
        <v>299</v>
      </c>
      <c r="G73" s="43" t="s">
        <v>300</v>
      </c>
      <c r="H73" s="43"/>
      <c r="I73" s="44" t="s">
        <v>103</v>
      </c>
      <c r="J73" s="10"/>
      <c r="K73" s="10"/>
      <c r="L73" s="10"/>
      <c r="M73" s="47" t="str">
        <f t="shared" si="0"/>
        <v>not answered/error</v>
      </c>
      <c r="N73" s="43"/>
      <c r="O73" s="43"/>
      <c r="P73" s="43"/>
      <c r="Q73" s="10" t="s">
        <v>1006</v>
      </c>
      <c r="R73" s="10"/>
      <c r="S73" s="10"/>
      <c r="T73" s="10"/>
      <c r="U73" s="10"/>
      <c r="V73" s="10"/>
      <c r="W73" s="10"/>
      <c r="X73" s="10"/>
      <c r="Y73" s="10"/>
      <c r="Z73" s="10"/>
      <c r="AA73" s="10"/>
      <c r="AB73" s="10"/>
    </row>
    <row r="74" spans="1:28" ht="409.6" x14ac:dyDescent="0.3">
      <c r="A74" s="43" t="s">
        <v>96</v>
      </c>
      <c r="B74" s="43" t="s">
        <v>97</v>
      </c>
      <c r="C74" s="43" t="s">
        <v>98</v>
      </c>
      <c r="D74" s="43" t="s">
        <v>301</v>
      </c>
      <c r="E74" s="43" t="s">
        <v>286</v>
      </c>
      <c r="F74" s="43" t="s">
        <v>302</v>
      </c>
      <c r="G74" s="43" t="s">
        <v>303</v>
      </c>
      <c r="H74" s="43"/>
      <c r="I74" s="44" t="s">
        <v>103</v>
      </c>
      <c r="J74" s="10"/>
      <c r="K74" s="10"/>
      <c r="L74" s="10"/>
      <c r="M74" s="47" t="str">
        <f t="shared" ref="M74:M137" si="1">IF(AND(J74&lt;&gt;"",ISBLANK(K74),ISBLANK(L74)),"Yes",IF(AND(K74&lt;&gt;"",ISBLANK(J74),ISBLANK(L74)),"No",IF(AND(L74&lt;&gt;"",ISBLANK(J74),ISBLANK(K74)),"N/A","not answered/error")))</f>
        <v>not answered/error</v>
      </c>
      <c r="N74" s="43"/>
      <c r="O74" s="43"/>
      <c r="P74" s="43"/>
      <c r="Q74" s="10" t="s">
        <v>1038</v>
      </c>
      <c r="R74" s="10"/>
      <c r="S74" s="10"/>
      <c r="T74" s="10"/>
      <c r="U74" s="10"/>
      <c r="V74" s="10"/>
      <c r="W74" s="10"/>
      <c r="X74" s="10"/>
      <c r="Y74" s="10"/>
      <c r="Z74" s="10"/>
      <c r="AA74" s="10"/>
      <c r="AB74" s="10"/>
    </row>
    <row r="75" spans="1:28" ht="187.2" x14ac:dyDescent="0.3">
      <c r="A75" s="43" t="s">
        <v>96</v>
      </c>
      <c r="B75" s="43" t="s">
        <v>97</v>
      </c>
      <c r="C75" s="43" t="s">
        <v>98</v>
      </c>
      <c r="D75" s="43" t="s">
        <v>304</v>
      </c>
      <c r="E75" s="43" t="s">
        <v>286</v>
      </c>
      <c r="F75" s="43" t="s">
        <v>305</v>
      </c>
      <c r="G75" s="43" t="s">
        <v>306</v>
      </c>
      <c r="H75" s="43"/>
      <c r="I75" s="44" t="s">
        <v>103</v>
      </c>
      <c r="J75" s="10"/>
      <c r="K75" s="10"/>
      <c r="L75" s="10"/>
      <c r="M75" s="47" t="str">
        <f t="shared" si="1"/>
        <v>not answered/error</v>
      </c>
      <c r="N75" s="43"/>
      <c r="O75" s="43"/>
      <c r="P75" s="43"/>
      <c r="Q75" s="10" t="s">
        <v>1039</v>
      </c>
      <c r="R75" s="10"/>
      <c r="S75" s="10"/>
      <c r="T75" s="10"/>
      <c r="U75" s="10"/>
      <c r="V75" s="10"/>
      <c r="W75" s="10"/>
      <c r="X75" s="10"/>
      <c r="Y75" s="10"/>
      <c r="Z75" s="10"/>
      <c r="AA75" s="10"/>
      <c r="AB75" s="10"/>
    </row>
    <row r="76" spans="1:28" ht="158.4" x14ac:dyDescent="0.3">
      <c r="A76" s="43" t="s">
        <v>96</v>
      </c>
      <c r="B76" s="43" t="s">
        <v>97</v>
      </c>
      <c r="C76" s="43" t="s">
        <v>98</v>
      </c>
      <c r="D76" s="43" t="s">
        <v>307</v>
      </c>
      <c r="E76" s="43" t="s">
        <v>286</v>
      </c>
      <c r="F76" s="43" t="s">
        <v>308</v>
      </c>
      <c r="G76" s="43" t="s">
        <v>309</v>
      </c>
      <c r="H76" s="43"/>
      <c r="I76" s="44" t="s">
        <v>103</v>
      </c>
      <c r="J76" s="10"/>
      <c r="K76" s="10"/>
      <c r="L76" s="10"/>
      <c r="M76" s="47" t="str">
        <f t="shared" si="1"/>
        <v>not answered/error</v>
      </c>
      <c r="N76" s="43"/>
      <c r="O76" s="43"/>
      <c r="P76" s="43"/>
      <c r="Q76" s="10" t="s">
        <v>1040</v>
      </c>
      <c r="R76" s="10"/>
      <c r="S76" s="10"/>
      <c r="T76" s="10"/>
      <c r="U76" s="10"/>
      <c r="V76" s="10"/>
      <c r="W76" s="10"/>
      <c r="X76" s="10"/>
      <c r="Y76" s="10"/>
      <c r="Z76" s="10"/>
      <c r="AA76" s="10"/>
      <c r="AB76" s="10"/>
    </row>
    <row r="77" spans="1:28" ht="244.8" x14ac:dyDescent="0.3">
      <c r="A77" s="43" t="s">
        <v>96</v>
      </c>
      <c r="B77" s="43" t="s">
        <v>97</v>
      </c>
      <c r="C77" s="43" t="s">
        <v>98</v>
      </c>
      <c r="D77" s="43" t="s">
        <v>310</v>
      </c>
      <c r="E77" s="43" t="s">
        <v>286</v>
      </c>
      <c r="F77" s="43" t="s">
        <v>311</v>
      </c>
      <c r="G77" s="43" t="s">
        <v>312</v>
      </c>
      <c r="H77" s="43"/>
      <c r="I77" s="44" t="s">
        <v>103</v>
      </c>
      <c r="J77" s="10"/>
      <c r="K77" s="10"/>
      <c r="L77" s="10"/>
      <c r="M77" s="47" t="str">
        <f t="shared" si="1"/>
        <v>not answered/error</v>
      </c>
      <c r="N77" s="43"/>
      <c r="O77" s="43"/>
      <c r="P77" s="43"/>
      <c r="Q77" s="10" t="s">
        <v>1041</v>
      </c>
      <c r="R77" s="10"/>
      <c r="S77" s="10"/>
      <c r="T77" s="10"/>
      <c r="U77" s="10"/>
      <c r="V77" s="10"/>
      <c r="W77" s="10"/>
      <c r="X77" s="10"/>
      <c r="Y77" s="10"/>
      <c r="Z77" s="10"/>
      <c r="AA77" s="10"/>
      <c r="AB77" s="10"/>
    </row>
    <row r="78" spans="1:28" ht="100.8" x14ac:dyDescent="0.3">
      <c r="A78" s="43" t="s">
        <v>96</v>
      </c>
      <c r="B78" s="43" t="s">
        <v>97</v>
      </c>
      <c r="C78" s="43" t="s">
        <v>98</v>
      </c>
      <c r="D78" s="43" t="s">
        <v>313</v>
      </c>
      <c r="E78" s="43" t="s">
        <v>286</v>
      </c>
      <c r="F78" s="43" t="s">
        <v>314</v>
      </c>
      <c r="G78" s="43" t="s">
        <v>315</v>
      </c>
      <c r="H78" s="43"/>
      <c r="I78" s="44" t="s">
        <v>103</v>
      </c>
      <c r="J78" s="10"/>
      <c r="K78" s="10"/>
      <c r="L78" s="10"/>
      <c r="M78" s="47" t="str">
        <f t="shared" si="1"/>
        <v>not answered/error</v>
      </c>
      <c r="N78" s="43"/>
      <c r="O78" s="43"/>
      <c r="P78" s="43"/>
      <c r="Q78" s="10" t="s">
        <v>1006</v>
      </c>
      <c r="R78" s="10"/>
      <c r="S78" s="10"/>
      <c r="T78" s="10"/>
      <c r="U78" s="10"/>
      <c r="V78" s="10"/>
      <c r="W78" s="10"/>
      <c r="X78" s="10"/>
      <c r="Y78" s="10"/>
      <c r="Z78" s="10"/>
      <c r="AA78" s="10"/>
      <c r="AB78" s="10"/>
    </row>
    <row r="79" spans="1:28" ht="115.2" x14ac:dyDescent="0.3">
      <c r="A79" s="43" t="s">
        <v>96</v>
      </c>
      <c r="B79" s="43" t="s">
        <v>97</v>
      </c>
      <c r="C79" s="43" t="s">
        <v>98</v>
      </c>
      <c r="D79" s="43" t="s">
        <v>316</v>
      </c>
      <c r="E79" s="43" t="s">
        <v>286</v>
      </c>
      <c r="F79" s="43" t="s">
        <v>317</v>
      </c>
      <c r="G79" s="43" t="s">
        <v>318</v>
      </c>
      <c r="H79" s="43"/>
      <c r="I79" s="44" t="s">
        <v>103</v>
      </c>
      <c r="J79" s="10"/>
      <c r="K79" s="10"/>
      <c r="L79" s="10"/>
      <c r="M79" s="47" t="str">
        <f t="shared" si="1"/>
        <v>not answered/error</v>
      </c>
      <c r="N79" s="43"/>
      <c r="O79" s="43"/>
      <c r="P79" s="43"/>
      <c r="Q79" s="10" t="s">
        <v>1042</v>
      </c>
      <c r="R79" s="10"/>
      <c r="S79" s="10"/>
      <c r="T79" s="10"/>
      <c r="U79" s="10"/>
      <c r="V79" s="10"/>
      <c r="W79" s="10"/>
      <c r="X79" s="10"/>
      <c r="Y79" s="10"/>
      <c r="Z79" s="10"/>
      <c r="AA79" s="10"/>
      <c r="AB79" s="10"/>
    </row>
    <row r="80" spans="1:28" ht="115.2" x14ac:dyDescent="0.3">
      <c r="A80" s="43" t="s">
        <v>96</v>
      </c>
      <c r="B80" s="43" t="s">
        <v>97</v>
      </c>
      <c r="C80" s="43" t="s">
        <v>98</v>
      </c>
      <c r="D80" s="43" t="s">
        <v>319</v>
      </c>
      <c r="E80" s="43" t="s">
        <v>286</v>
      </c>
      <c r="F80" s="43" t="s">
        <v>320</v>
      </c>
      <c r="G80" s="43" t="s">
        <v>321</v>
      </c>
      <c r="H80" s="43"/>
      <c r="I80" s="44" t="s">
        <v>103</v>
      </c>
      <c r="J80" s="10"/>
      <c r="K80" s="10"/>
      <c r="L80" s="10"/>
      <c r="M80" s="47" t="str">
        <f t="shared" si="1"/>
        <v>not answered/error</v>
      </c>
      <c r="N80" s="43"/>
      <c r="O80" s="43"/>
      <c r="P80" s="43"/>
      <c r="Q80" s="10" t="s">
        <v>1006</v>
      </c>
      <c r="R80" s="10"/>
      <c r="S80" s="10"/>
      <c r="T80" s="10"/>
      <c r="U80" s="10"/>
      <c r="V80" s="10"/>
      <c r="W80" s="10"/>
      <c r="X80" s="10"/>
      <c r="Y80" s="10"/>
      <c r="Z80" s="10"/>
      <c r="AA80" s="10"/>
      <c r="AB80" s="10"/>
    </row>
    <row r="81" spans="1:28" ht="86.4" x14ac:dyDescent="0.3">
      <c r="A81" s="43" t="s">
        <v>96</v>
      </c>
      <c r="B81" s="43" t="s">
        <v>97</v>
      </c>
      <c r="C81" s="43" t="s">
        <v>98</v>
      </c>
      <c r="D81" s="43" t="s">
        <v>322</v>
      </c>
      <c r="E81" s="43" t="s">
        <v>286</v>
      </c>
      <c r="F81" s="43" t="s">
        <v>323</v>
      </c>
      <c r="G81" s="43" t="s">
        <v>324</v>
      </c>
      <c r="H81" s="43"/>
      <c r="I81" s="46" t="s">
        <v>266</v>
      </c>
      <c r="J81" s="10"/>
      <c r="K81" s="10"/>
      <c r="L81" s="10"/>
      <c r="M81" s="47" t="str">
        <f t="shared" si="1"/>
        <v>not answered/error</v>
      </c>
      <c r="N81" s="43"/>
      <c r="O81" s="43"/>
      <c r="P81" s="43"/>
      <c r="Q81" s="10"/>
      <c r="R81" s="10"/>
      <c r="S81" s="10"/>
      <c r="T81" s="10"/>
      <c r="U81" s="10"/>
      <c r="V81" s="10"/>
      <c r="W81" s="10"/>
      <c r="X81" s="10"/>
      <c r="Y81" s="10"/>
      <c r="Z81" s="10"/>
      <c r="AA81" s="10"/>
      <c r="AB81" s="10"/>
    </row>
    <row r="82" spans="1:28" ht="86.4" x14ac:dyDescent="0.3">
      <c r="A82" s="43" t="s">
        <v>96</v>
      </c>
      <c r="B82" s="43" t="s">
        <v>97</v>
      </c>
      <c r="C82" s="43" t="s">
        <v>98</v>
      </c>
      <c r="D82" s="43" t="s">
        <v>325</v>
      </c>
      <c r="E82" s="43" t="s">
        <v>286</v>
      </c>
      <c r="F82" s="43" t="s">
        <v>326</v>
      </c>
      <c r="G82" s="43" t="s">
        <v>327</v>
      </c>
      <c r="H82" s="43"/>
      <c r="I82" s="45" t="s">
        <v>203</v>
      </c>
      <c r="J82" s="10"/>
      <c r="K82" s="10"/>
      <c r="L82" s="10"/>
      <c r="M82" s="47" t="str">
        <f t="shared" si="1"/>
        <v>not answered/error</v>
      </c>
      <c r="N82" s="43"/>
      <c r="O82" s="43"/>
      <c r="P82" s="43"/>
      <c r="Q82" s="10"/>
      <c r="R82" s="10"/>
      <c r="S82" s="10"/>
      <c r="T82" s="10"/>
      <c r="U82" s="10"/>
      <c r="V82" s="10"/>
      <c r="W82" s="10"/>
      <c r="X82" s="10"/>
      <c r="Y82" s="10"/>
      <c r="Z82" s="10"/>
      <c r="AA82" s="10"/>
      <c r="AB82" s="10"/>
    </row>
    <row r="83" spans="1:28" ht="72" x14ac:dyDescent="0.3">
      <c r="A83" s="43" t="s">
        <v>96</v>
      </c>
      <c r="B83" s="43" t="s">
        <v>97</v>
      </c>
      <c r="C83" s="43" t="s">
        <v>98</v>
      </c>
      <c r="D83" s="43" t="s">
        <v>328</v>
      </c>
      <c r="E83" s="43" t="s">
        <v>286</v>
      </c>
      <c r="F83" s="43" t="s">
        <v>329</v>
      </c>
      <c r="G83" s="43" t="s">
        <v>330</v>
      </c>
      <c r="H83" s="43"/>
      <c r="I83" s="45" t="s">
        <v>203</v>
      </c>
      <c r="J83" s="10"/>
      <c r="K83" s="10"/>
      <c r="L83" s="10"/>
      <c r="M83" s="47" t="str">
        <f t="shared" si="1"/>
        <v>not answered/error</v>
      </c>
      <c r="N83" s="43"/>
      <c r="O83" s="43"/>
      <c r="P83" s="43"/>
      <c r="Q83" s="10" t="s">
        <v>1006</v>
      </c>
      <c r="R83" s="10"/>
      <c r="S83" s="10"/>
      <c r="T83" s="10"/>
      <c r="U83" s="10"/>
      <c r="V83" s="10"/>
      <c r="W83" s="10"/>
      <c r="X83" s="10"/>
      <c r="Y83" s="10"/>
      <c r="Z83" s="10"/>
      <c r="AA83" s="10"/>
      <c r="AB83" s="10"/>
    </row>
    <row r="84" spans="1:28" ht="86.4" x14ac:dyDescent="0.3">
      <c r="A84" s="43" t="s">
        <v>96</v>
      </c>
      <c r="B84" s="43" t="s">
        <v>97</v>
      </c>
      <c r="C84" s="43" t="s">
        <v>98</v>
      </c>
      <c r="D84" s="43" t="s">
        <v>331</v>
      </c>
      <c r="E84" s="43" t="s">
        <v>286</v>
      </c>
      <c r="F84" s="43" t="s">
        <v>332</v>
      </c>
      <c r="G84" s="43" t="s">
        <v>333</v>
      </c>
      <c r="H84" s="43"/>
      <c r="I84" s="45" t="s">
        <v>203</v>
      </c>
      <c r="J84" s="10"/>
      <c r="K84" s="10"/>
      <c r="L84" s="10"/>
      <c r="M84" s="47" t="str">
        <f t="shared" si="1"/>
        <v>not answered/error</v>
      </c>
      <c r="N84" s="43"/>
      <c r="O84" s="43"/>
      <c r="P84" s="43"/>
      <c r="Q84" s="10"/>
      <c r="R84" s="10"/>
      <c r="S84" s="10"/>
      <c r="T84" s="10"/>
      <c r="U84" s="10"/>
      <c r="V84" s="10"/>
      <c r="W84" s="10"/>
      <c r="X84" s="10"/>
      <c r="Y84" s="10"/>
      <c r="Z84" s="10"/>
      <c r="AA84" s="10"/>
      <c r="AB84" s="10"/>
    </row>
    <row r="85" spans="1:28" ht="331.2" x14ac:dyDescent="0.3">
      <c r="A85" s="43" t="s">
        <v>96</v>
      </c>
      <c r="B85" s="43" t="s">
        <v>97</v>
      </c>
      <c r="C85" s="43" t="s">
        <v>98</v>
      </c>
      <c r="D85" s="43" t="s">
        <v>334</v>
      </c>
      <c r="E85" s="43" t="s">
        <v>335</v>
      </c>
      <c r="F85" s="43" t="s">
        <v>336</v>
      </c>
      <c r="G85" s="43" t="s">
        <v>337</v>
      </c>
      <c r="H85" s="43"/>
      <c r="I85" s="44" t="s">
        <v>103</v>
      </c>
      <c r="J85" s="9"/>
      <c r="K85" s="9"/>
      <c r="L85" s="9"/>
      <c r="M85" s="47" t="str">
        <f t="shared" si="1"/>
        <v>not answered/error</v>
      </c>
      <c r="N85" s="43"/>
      <c r="O85" s="43"/>
      <c r="P85" s="43"/>
      <c r="Q85" s="10" t="s">
        <v>1006</v>
      </c>
      <c r="R85" s="10"/>
      <c r="S85" s="10"/>
      <c r="T85" s="10"/>
      <c r="U85" s="10"/>
      <c r="V85" s="10"/>
      <c r="W85" s="10"/>
      <c r="X85" s="10"/>
      <c r="Y85" s="10"/>
      <c r="Z85" s="10"/>
      <c r="AA85" s="10"/>
      <c r="AB85" s="10"/>
    </row>
    <row r="86" spans="1:28" ht="388.8" x14ac:dyDescent="0.3">
      <c r="A86" s="43" t="s">
        <v>96</v>
      </c>
      <c r="B86" s="43" t="s">
        <v>97</v>
      </c>
      <c r="C86" s="43" t="s">
        <v>98</v>
      </c>
      <c r="D86" s="43" t="s">
        <v>338</v>
      </c>
      <c r="E86" s="43" t="s">
        <v>339</v>
      </c>
      <c r="F86" s="43" t="s">
        <v>340</v>
      </c>
      <c r="G86" s="43" t="s">
        <v>341</v>
      </c>
      <c r="H86" s="43"/>
      <c r="I86" s="44" t="s">
        <v>103</v>
      </c>
      <c r="J86" s="10"/>
      <c r="K86" s="10"/>
      <c r="L86" s="10"/>
      <c r="M86" s="47" t="str">
        <f t="shared" si="1"/>
        <v>not answered/error</v>
      </c>
      <c r="N86" s="43"/>
      <c r="O86" s="43"/>
      <c r="P86" s="43"/>
      <c r="Q86" s="10" t="s">
        <v>1043</v>
      </c>
      <c r="R86" s="10"/>
      <c r="S86" s="10"/>
      <c r="T86" s="10"/>
      <c r="U86" s="10"/>
      <c r="V86" s="10"/>
      <c r="W86" s="10"/>
      <c r="X86" s="10"/>
      <c r="Y86" s="10"/>
      <c r="Z86" s="10"/>
      <c r="AA86" s="10"/>
      <c r="AB86" s="10"/>
    </row>
    <row r="87" spans="1:28" ht="244.8" x14ac:dyDescent="0.3">
      <c r="A87" s="43" t="s">
        <v>96</v>
      </c>
      <c r="B87" s="43" t="s">
        <v>97</v>
      </c>
      <c r="C87" s="43" t="s">
        <v>98</v>
      </c>
      <c r="D87" s="43" t="s">
        <v>342</v>
      </c>
      <c r="E87" s="43" t="s">
        <v>343</v>
      </c>
      <c r="F87" s="43" t="s">
        <v>344</v>
      </c>
      <c r="G87" s="43" t="s">
        <v>345</v>
      </c>
      <c r="H87" s="43"/>
      <c r="I87" s="44" t="s">
        <v>103</v>
      </c>
      <c r="J87" s="10"/>
      <c r="K87" s="10"/>
      <c r="L87" s="10"/>
      <c r="M87" s="47" t="str">
        <f t="shared" si="1"/>
        <v>not answered/error</v>
      </c>
      <c r="N87" s="43"/>
      <c r="O87" s="43"/>
      <c r="P87" s="43"/>
      <c r="Q87" s="10" t="s">
        <v>1044</v>
      </c>
      <c r="R87" s="10"/>
      <c r="S87" s="10"/>
      <c r="T87" s="10"/>
      <c r="U87" s="10"/>
      <c r="V87" s="10"/>
      <c r="W87" s="10"/>
      <c r="X87" s="10"/>
      <c r="Y87" s="10"/>
      <c r="Z87" s="10"/>
      <c r="AA87" s="10"/>
      <c r="AB87" s="10"/>
    </row>
    <row r="88" spans="1:28" ht="403.2" x14ac:dyDescent="0.3">
      <c r="A88" s="43" t="s">
        <v>96</v>
      </c>
      <c r="B88" s="43" t="s">
        <v>97</v>
      </c>
      <c r="C88" s="43" t="s">
        <v>98</v>
      </c>
      <c r="D88" s="43" t="s">
        <v>346</v>
      </c>
      <c r="E88" s="43" t="s">
        <v>347</v>
      </c>
      <c r="F88" s="43" t="s">
        <v>348</v>
      </c>
      <c r="G88" s="43" t="s">
        <v>349</v>
      </c>
      <c r="H88" s="43"/>
      <c r="I88" s="44" t="s">
        <v>103</v>
      </c>
      <c r="J88" s="10"/>
      <c r="K88" s="10"/>
      <c r="L88" s="10"/>
      <c r="M88" s="47" t="str">
        <f t="shared" si="1"/>
        <v>not answered/error</v>
      </c>
      <c r="N88" s="43"/>
      <c r="O88" s="43"/>
      <c r="P88" s="43"/>
      <c r="Q88" s="10" t="s">
        <v>1045</v>
      </c>
      <c r="R88" s="10"/>
      <c r="S88" s="10"/>
      <c r="T88" s="10"/>
      <c r="U88" s="10"/>
      <c r="V88" s="10"/>
      <c r="W88" s="10"/>
      <c r="X88" s="10"/>
      <c r="Y88" s="10"/>
      <c r="Z88" s="10"/>
      <c r="AA88" s="10"/>
      <c r="AB88" s="10"/>
    </row>
    <row r="89" spans="1:28" ht="302.39999999999998" x14ac:dyDescent="0.3">
      <c r="A89" s="43" t="s">
        <v>96</v>
      </c>
      <c r="B89" s="43" t="s">
        <v>97</v>
      </c>
      <c r="C89" s="43" t="s">
        <v>98</v>
      </c>
      <c r="D89" s="43" t="s">
        <v>350</v>
      </c>
      <c r="E89" s="43" t="s">
        <v>351</v>
      </c>
      <c r="F89" s="43" t="s">
        <v>352</v>
      </c>
      <c r="G89" s="43" t="s">
        <v>353</v>
      </c>
      <c r="H89" s="43"/>
      <c r="I89" s="44" t="s">
        <v>103</v>
      </c>
      <c r="J89" s="10"/>
      <c r="K89" s="10"/>
      <c r="L89" s="10"/>
      <c r="M89" s="47" t="str">
        <f t="shared" si="1"/>
        <v>not answered/error</v>
      </c>
      <c r="N89" s="43"/>
      <c r="O89" s="43"/>
      <c r="P89" s="43"/>
      <c r="Q89" s="10" t="s">
        <v>1046</v>
      </c>
      <c r="R89" s="10"/>
      <c r="S89" s="10"/>
      <c r="T89" s="10"/>
      <c r="U89" s="10"/>
      <c r="V89" s="10"/>
      <c r="W89" s="10"/>
      <c r="X89" s="10"/>
      <c r="Y89" s="10"/>
      <c r="Z89" s="10"/>
      <c r="AA89" s="10"/>
      <c r="AB89" s="10"/>
    </row>
    <row r="90" spans="1:28" ht="144" x14ac:dyDescent="0.3">
      <c r="A90" s="43" t="s">
        <v>96</v>
      </c>
      <c r="B90" s="43" t="s">
        <v>97</v>
      </c>
      <c r="C90" s="43" t="s">
        <v>98</v>
      </c>
      <c r="D90" s="43" t="s">
        <v>354</v>
      </c>
      <c r="E90" s="43" t="s">
        <v>355</v>
      </c>
      <c r="F90" s="43" t="s">
        <v>356</v>
      </c>
      <c r="G90" s="43" t="s">
        <v>357</v>
      </c>
      <c r="H90" s="43"/>
      <c r="I90" s="44" t="s">
        <v>103</v>
      </c>
      <c r="J90" s="10"/>
      <c r="K90" s="10"/>
      <c r="L90" s="10"/>
      <c r="M90" s="47" t="str">
        <f t="shared" si="1"/>
        <v>not answered/error</v>
      </c>
      <c r="N90" s="43"/>
      <c r="O90" s="43"/>
      <c r="P90" s="43"/>
      <c r="Q90" s="10" t="s">
        <v>1047</v>
      </c>
      <c r="R90" s="10"/>
      <c r="S90" s="10"/>
      <c r="T90" s="10"/>
      <c r="U90" s="10"/>
      <c r="V90" s="10"/>
      <c r="W90" s="10"/>
      <c r="X90" s="10"/>
      <c r="Y90" s="10"/>
      <c r="Z90" s="10"/>
      <c r="AA90" s="10"/>
      <c r="AB90" s="10"/>
    </row>
    <row r="91" spans="1:28" ht="374.4" x14ac:dyDescent="0.3">
      <c r="A91" s="43" t="s">
        <v>96</v>
      </c>
      <c r="B91" s="43" t="s">
        <v>97</v>
      </c>
      <c r="C91" s="43" t="s">
        <v>98</v>
      </c>
      <c r="D91" s="43" t="s">
        <v>358</v>
      </c>
      <c r="E91" s="43" t="s">
        <v>355</v>
      </c>
      <c r="F91" s="43" t="s">
        <v>359</v>
      </c>
      <c r="G91" s="43" t="s">
        <v>360</v>
      </c>
      <c r="H91" s="43"/>
      <c r="I91" s="44" t="s">
        <v>103</v>
      </c>
      <c r="J91" s="10"/>
      <c r="K91" s="10"/>
      <c r="L91" s="10"/>
      <c r="M91" s="47" t="str">
        <f t="shared" si="1"/>
        <v>not answered/error</v>
      </c>
      <c r="N91" s="43"/>
      <c r="O91" s="43"/>
      <c r="P91" s="43"/>
      <c r="Q91" s="10" t="s">
        <v>1048</v>
      </c>
      <c r="R91" s="10"/>
      <c r="S91" s="10"/>
      <c r="T91" s="10"/>
      <c r="U91" s="10"/>
      <c r="V91" s="10"/>
      <c r="W91" s="10"/>
      <c r="X91" s="10"/>
      <c r="Y91" s="10"/>
      <c r="Z91" s="10"/>
      <c r="AA91" s="10"/>
      <c r="AB91" s="10"/>
    </row>
    <row r="92" spans="1:28" ht="115.2" x14ac:dyDescent="0.3">
      <c r="A92" s="43" t="s">
        <v>96</v>
      </c>
      <c r="B92" s="43" t="s">
        <v>97</v>
      </c>
      <c r="C92" s="43" t="s">
        <v>98</v>
      </c>
      <c r="D92" s="43" t="s">
        <v>361</v>
      </c>
      <c r="E92" s="43" t="s">
        <v>355</v>
      </c>
      <c r="F92" s="43" t="s">
        <v>362</v>
      </c>
      <c r="G92" s="43" t="s">
        <v>363</v>
      </c>
      <c r="H92" s="43"/>
      <c r="I92" s="44" t="s">
        <v>103</v>
      </c>
      <c r="J92" s="10"/>
      <c r="K92" s="10"/>
      <c r="L92" s="10"/>
      <c r="M92" s="47" t="str">
        <f t="shared" si="1"/>
        <v>not answered/error</v>
      </c>
      <c r="N92" s="43"/>
      <c r="O92" s="43"/>
      <c r="P92" s="43"/>
      <c r="Q92" s="10" t="s">
        <v>1049</v>
      </c>
      <c r="R92" s="10"/>
      <c r="S92" s="10"/>
      <c r="T92" s="10"/>
      <c r="U92" s="10"/>
      <c r="V92" s="10"/>
      <c r="W92" s="10"/>
      <c r="X92" s="10"/>
      <c r="Y92" s="10"/>
      <c r="Z92" s="10"/>
      <c r="AA92" s="10"/>
      <c r="AB92" s="10"/>
    </row>
    <row r="93" spans="1:28" ht="403.2" x14ac:dyDescent="0.3">
      <c r="A93" s="43" t="s">
        <v>96</v>
      </c>
      <c r="B93" s="43" t="s">
        <v>97</v>
      </c>
      <c r="C93" s="43" t="s">
        <v>98</v>
      </c>
      <c r="D93" s="43" t="s">
        <v>364</v>
      </c>
      <c r="E93" s="43" t="s">
        <v>355</v>
      </c>
      <c r="F93" s="43" t="s">
        <v>365</v>
      </c>
      <c r="G93" s="43" t="s">
        <v>366</v>
      </c>
      <c r="H93" s="43"/>
      <c r="I93" s="44" t="s">
        <v>103</v>
      </c>
      <c r="J93" s="10"/>
      <c r="K93" s="10"/>
      <c r="L93" s="10"/>
      <c r="M93" s="47" t="str">
        <f t="shared" si="1"/>
        <v>not answered/error</v>
      </c>
      <c r="N93" s="43"/>
      <c r="O93" s="43"/>
      <c r="P93" s="43"/>
      <c r="Q93" s="10" t="s">
        <v>1050</v>
      </c>
      <c r="R93" s="10"/>
      <c r="S93" s="10"/>
      <c r="T93" s="10"/>
      <c r="U93" s="10"/>
      <c r="V93" s="10"/>
      <c r="W93" s="10"/>
      <c r="X93" s="10"/>
      <c r="Y93" s="10"/>
      <c r="Z93" s="10"/>
      <c r="AA93" s="10"/>
      <c r="AB93" s="10"/>
    </row>
    <row r="94" spans="1:28" ht="158.4" x14ac:dyDescent="0.3">
      <c r="A94" s="43" t="s">
        <v>96</v>
      </c>
      <c r="B94" s="43" t="s">
        <v>97</v>
      </c>
      <c r="C94" s="43" t="s">
        <v>98</v>
      </c>
      <c r="D94" s="43" t="s">
        <v>367</v>
      </c>
      <c r="E94" s="43" t="s">
        <v>355</v>
      </c>
      <c r="F94" s="43" t="s">
        <v>368</v>
      </c>
      <c r="G94" s="43" t="s">
        <v>369</v>
      </c>
      <c r="H94" s="43"/>
      <c r="I94" s="44" t="s">
        <v>103</v>
      </c>
      <c r="J94" s="10"/>
      <c r="K94" s="10"/>
      <c r="L94" s="10"/>
      <c r="M94" s="47" t="str">
        <f t="shared" si="1"/>
        <v>not answered/error</v>
      </c>
      <c r="N94" s="43"/>
      <c r="O94" s="43"/>
      <c r="P94" s="43"/>
      <c r="Q94" s="10" t="s">
        <v>1051</v>
      </c>
      <c r="R94" s="10"/>
      <c r="S94" s="10"/>
      <c r="T94" s="10"/>
      <c r="U94" s="10"/>
      <c r="V94" s="10"/>
      <c r="W94" s="10"/>
      <c r="X94" s="10"/>
      <c r="Y94" s="10"/>
      <c r="Z94" s="10"/>
      <c r="AA94" s="10"/>
      <c r="AB94" s="10"/>
    </row>
    <row r="95" spans="1:28" ht="172.8" x14ac:dyDescent="0.3">
      <c r="A95" s="43" t="s">
        <v>96</v>
      </c>
      <c r="B95" s="43" t="s">
        <v>97</v>
      </c>
      <c r="C95" s="43" t="s">
        <v>98</v>
      </c>
      <c r="D95" s="43" t="s">
        <v>370</v>
      </c>
      <c r="E95" s="43" t="s">
        <v>371</v>
      </c>
      <c r="F95" s="43" t="s">
        <v>372</v>
      </c>
      <c r="G95" s="43" t="s">
        <v>373</v>
      </c>
      <c r="H95" s="43"/>
      <c r="I95" s="44" t="s">
        <v>103</v>
      </c>
      <c r="J95" s="9"/>
      <c r="K95" s="9"/>
      <c r="L95" s="9"/>
      <c r="M95" s="47" t="str">
        <f t="shared" si="1"/>
        <v>not answered/error</v>
      </c>
      <c r="N95" s="43"/>
      <c r="O95" s="43"/>
      <c r="P95" s="43"/>
      <c r="Q95" s="10" t="s">
        <v>1052</v>
      </c>
      <c r="R95" s="10"/>
      <c r="S95" s="10"/>
      <c r="T95" s="10"/>
      <c r="U95" s="10"/>
      <c r="V95" s="10"/>
      <c r="W95" s="10"/>
      <c r="X95" s="10"/>
      <c r="Y95" s="10"/>
      <c r="Z95" s="10"/>
      <c r="AA95" s="10"/>
      <c r="AB95" s="10"/>
    </row>
    <row r="96" spans="1:28" ht="409.6" x14ac:dyDescent="0.3">
      <c r="A96" s="43" t="s">
        <v>96</v>
      </c>
      <c r="B96" s="43" t="s">
        <v>97</v>
      </c>
      <c r="C96" s="43" t="s">
        <v>98</v>
      </c>
      <c r="D96" s="43" t="s">
        <v>374</v>
      </c>
      <c r="E96" s="43" t="s">
        <v>371</v>
      </c>
      <c r="F96" s="43" t="s">
        <v>375</v>
      </c>
      <c r="G96" s="43" t="s">
        <v>376</v>
      </c>
      <c r="H96" s="43"/>
      <c r="I96" s="44" t="s">
        <v>103</v>
      </c>
      <c r="J96" s="9"/>
      <c r="K96" s="9"/>
      <c r="L96" s="9"/>
      <c r="M96" s="47" t="str">
        <f t="shared" si="1"/>
        <v>not answered/error</v>
      </c>
      <c r="N96" s="43"/>
      <c r="O96" s="43"/>
      <c r="P96" s="43"/>
      <c r="Q96" s="10" t="s">
        <v>1053</v>
      </c>
      <c r="R96" s="10"/>
      <c r="S96" s="10"/>
      <c r="T96" s="10"/>
      <c r="U96" s="10"/>
      <c r="V96" s="10"/>
      <c r="W96" s="10"/>
      <c r="X96" s="10"/>
      <c r="Y96" s="10"/>
      <c r="Z96" s="10"/>
      <c r="AA96" s="10"/>
      <c r="AB96" s="10"/>
    </row>
    <row r="97" spans="1:28" ht="360" x14ac:dyDescent="0.3">
      <c r="A97" s="43" t="s">
        <v>96</v>
      </c>
      <c r="B97" s="43" t="s">
        <v>97</v>
      </c>
      <c r="C97" s="43" t="s">
        <v>98</v>
      </c>
      <c r="D97" s="43" t="s">
        <v>377</v>
      </c>
      <c r="E97" s="43" t="s">
        <v>378</v>
      </c>
      <c r="F97" s="43" t="s">
        <v>379</v>
      </c>
      <c r="G97" s="43" t="s">
        <v>380</v>
      </c>
      <c r="H97" s="43"/>
      <c r="I97" s="44" t="s">
        <v>103</v>
      </c>
      <c r="J97" s="9"/>
      <c r="K97" s="9"/>
      <c r="L97" s="9"/>
      <c r="M97" s="47" t="str">
        <f t="shared" si="1"/>
        <v>not answered/error</v>
      </c>
      <c r="N97" s="43"/>
      <c r="O97" s="43"/>
      <c r="P97" s="43"/>
      <c r="Q97" s="10" t="s">
        <v>1054</v>
      </c>
      <c r="R97" s="10"/>
      <c r="S97" s="10"/>
      <c r="T97" s="10"/>
      <c r="U97" s="10"/>
      <c r="V97" s="10"/>
      <c r="W97" s="10"/>
      <c r="X97" s="10"/>
      <c r="Y97" s="10"/>
      <c r="Z97" s="10"/>
      <c r="AA97" s="10"/>
      <c r="AB97" s="10"/>
    </row>
    <row r="98" spans="1:28" ht="115.2" x14ac:dyDescent="0.3">
      <c r="A98" s="43" t="s">
        <v>96</v>
      </c>
      <c r="B98" s="43" t="s">
        <v>97</v>
      </c>
      <c r="C98" s="43" t="s">
        <v>98</v>
      </c>
      <c r="D98" s="43" t="s">
        <v>381</v>
      </c>
      <c r="E98" s="43" t="s">
        <v>382</v>
      </c>
      <c r="F98" s="43" t="s">
        <v>383</v>
      </c>
      <c r="G98" s="43" t="s">
        <v>384</v>
      </c>
      <c r="H98" s="43"/>
      <c r="I98" s="44" t="s">
        <v>103</v>
      </c>
      <c r="J98" s="9"/>
      <c r="K98" s="9"/>
      <c r="L98" s="9"/>
      <c r="M98" s="47" t="str">
        <f t="shared" si="1"/>
        <v>not answered/error</v>
      </c>
      <c r="N98" s="43"/>
      <c r="O98" s="43"/>
      <c r="P98" s="43"/>
      <c r="Q98" s="10" t="s">
        <v>1006</v>
      </c>
      <c r="R98" s="10"/>
      <c r="S98" s="10"/>
      <c r="T98" s="10"/>
      <c r="U98" s="10"/>
      <c r="V98" s="10"/>
      <c r="W98" s="10"/>
      <c r="X98" s="10"/>
      <c r="Y98" s="10"/>
      <c r="Z98" s="10"/>
      <c r="AA98" s="10"/>
      <c r="AB98" s="10"/>
    </row>
    <row r="99" spans="1:28" ht="86.4" x14ac:dyDescent="0.3">
      <c r="A99" s="43" t="s">
        <v>96</v>
      </c>
      <c r="B99" s="43" t="s">
        <v>97</v>
      </c>
      <c r="C99" s="43" t="s">
        <v>98</v>
      </c>
      <c r="D99" s="43" t="s">
        <v>385</v>
      </c>
      <c r="E99" s="43" t="s">
        <v>382</v>
      </c>
      <c r="F99" s="43" t="s">
        <v>386</v>
      </c>
      <c r="G99" s="43" t="s">
        <v>387</v>
      </c>
      <c r="H99" s="43"/>
      <c r="I99" s="44" t="s">
        <v>103</v>
      </c>
      <c r="J99" s="9"/>
      <c r="K99" s="9"/>
      <c r="L99" s="9"/>
      <c r="M99" s="47" t="str">
        <f t="shared" si="1"/>
        <v>not answered/error</v>
      </c>
      <c r="N99" s="43"/>
      <c r="O99" s="43"/>
      <c r="P99" s="43"/>
      <c r="Q99" s="10" t="s">
        <v>1055</v>
      </c>
      <c r="R99" s="10"/>
      <c r="S99" s="10"/>
      <c r="T99" s="10"/>
      <c r="U99" s="10"/>
      <c r="V99" s="10"/>
      <c r="W99" s="10"/>
      <c r="X99" s="10"/>
      <c r="Y99" s="10"/>
      <c r="Z99" s="10"/>
      <c r="AA99" s="10"/>
      <c r="AB99" s="10"/>
    </row>
    <row r="100" spans="1:28" ht="409.6" x14ac:dyDescent="0.3">
      <c r="A100" s="43" t="s">
        <v>96</v>
      </c>
      <c r="B100" s="43" t="s">
        <v>97</v>
      </c>
      <c r="C100" s="43" t="s">
        <v>98</v>
      </c>
      <c r="D100" s="43" t="s">
        <v>388</v>
      </c>
      <c r="E100" s="43" t="s">
        <v>389</v>
      </c>
      <c r="F100" s="43" t="s">
        <v>390</v>
      </c>
      <c r="G100" s="43" t="s">
        <v>391</v>
      </c>
      <c r="H100" s="43"/>
      <c r="I100" s="44" t="s">
        <v>103</v>
      </c>
      <c r="J100" s="10"/>
      <c r="K100" s="10"/>
      <c r="L100" s="10"/>
      <c r="M100" s="47" t="str">
        <f t="shared" si="1"/>
        <v>not answered/error</v>
      </c>
      <c r="N100" s="43"/>
      <c r="O100" s="43"/>
      <c r="P100" s="43"/>
      <c r="Q100" s="10" t="s">
        <v>1006</v>
      </c>
      <c r="R100" s="10"/>
      <c r="S100" s="10"/>
      <c r="T100" s="10"/>
      <c r="U100" s="10"/>
      <c r="V100" s="10"/>
      <c r="W100" s="10"/>
      <c r="X100" s="10"/>
      <c r="Y100" s="10"/>
      <c r="Z100" s="10"/>
      <c r="AA100" s="10"/>
      <c r="AB100" s="10"/>
    </row>
    <row r="101" spans="1:28" ht="187.2" x14ac:dyDescent="0.3">
      <c r="A101" s="43" t="s">
        <v>96</v>
      </c>
      <c r="B101" s="43" t="s">
        <v>97</v>
      </c>
      <c r="C101" s="43" t="s">
        <v>98</v>
      </c>
      <c r="D101" s="43" t="s">
        <v>392</v>
      </c>
      <c r="E101" s="43" t="s">
        <v>389</v>
      </c>
      <c r="F101" s="43" t="s">
        <v>393</v>
      </c>
      <c r="G101" s="43" t="s">
        <v>394</v>
      </c>
      <c r="H101" s="43"/>
      <c r="I101" s="44" t="s">
        <v>103</v>
      </c>
      <c r="J101" s="10"/>
      <c r="K101" s="10"/>
      <c r="L101" s="10"/>
      <c r="M101" s="47" t="str">
        <f t="shared" si="1"/>
        <v>not answered/error</v>
      </c>
      <c r="N101" s="43"/>
      <c r="O101" s="43"/>
      <c r="P101" s="43"/>
      <c r="Q101" s="10" t="s">
        <v>1056</v>
      </c>
      <c r="R101" s="10"/>
      <c r="S101" s="10"/>
      <c r="T101" s="10"/>
      <c r="U101" s="10"/>
      <c r="V101" s="10"/>
      <c r="W101" s="10"/>
      <c r="X101" s="10"/>
      <c r="Y101" s="10"/>
      <c r="Z101" s="10"/>
      <c r="AA101" s="10"/>
      <c r="AB101" s="10"/>
    </row>
    <row r="102" spans="1:28" ht="115.2" x14ac:dyDescent="0.3">
      <c r="A102" s="43" t="s">
        <v>96</v>
      </c>
      <c r="B102" s="43" t="s">
        <v>97</v>
      </c>
      <c r="C102" s="43" t="s">
        <v>98</v>
      </c>
      <c r="D102" s="43" t="s">
        <v>395</v>
      </c>
      <c r="E102" s="43" t="s">
        <v>389</v>
      </c>
      <c r="F102" s="43" t="s">
        <v>396</v>
      </c>
      <c r="G102" s="43" t="s">
        <v>397</v>
      </c>
      <c r="H102" s="43"/>
      <c r="I102" s="44" t="s">
        <v>103</v>
      </c>
      <c r="J102" s="10"/>
      <c r="K102" s="10"/>
      <c r="L102" s="10"/>
      <c r="M102" s="47" t="str">
        <f t="shared" si="1"/>
        <v>not answered/error</v>
      </c>
      <c r="N102" s="43"/>
      <c r="O102" s="43"/>
      <c r="P102" s="43"/>
      <c r="Q102" s="10" t="s">
        <v>1057</v>
      </c>
      <c r="R102" s="10"/>
      <c r="S102" s="10"/>
      <c r="T102" s="10"/>
      <c r="U102" s="10"/>
      <c r="V102" s="10"/>
      <c r="W102" s="10"/>
      <c r="X102" s="10"/>
      <c r="Y102" s="10"/>
      <c r="Z102" s="10"/>
      <c r="AA102" s="10"/>
      <c r="AB102" s="10"/>
    </row>
    <row r="103" spans="1:28" ht="273.60000000000002" x14ac:dyDescent="0.3">
      <c r="A103" s="43" t="s">
        <v>96</v>
      </c>
      <c r="B103" s="43" t="s">
        <v>97</v>
      </c>
      <c r="C103" s="43" t="s">
        <v>98</v>
      </c>
      <c r="D103" s="43" t="s">
        <v>398</v>
      </c>
      <c r="E103" s="43" t="s">
        <v>399</v>
      </c>
      <c r="F103" s="43" t="s">
        <v>400</v>
      </c>
      <c r="G103" s="43" t="s">
        <v>401</v>
      </c>
      <c r="H103" s="43"/>
      <c r="I103" s="44" t="s">
        <v>103</v>
      </c>
      <c r="J103" s="9"/>
      <c r="K103" s="9"/>
      <c r="L103" s="9"/>
      <c r="M103" s="47" t="str">
        <f t="shared" si="1"/>
        <v>not answered/error</v>
      </c>
      <c r="N103" s="43"/>
      <c r="O103" s="43"/>
      <c r="P103" s="43"/>
      <c r="Q103" s="10" t="s">
        <v>1058</v>
      </c>
      <c r="R103" s="10"/>
      <c r="S103" s="10"/>
      <c r="T103" s="10"/>
      <c r="U103" s="10"/>
      <c r="V103" s="10"/>
      <c r="W103" s="10"/>
      <c r="X103" s="10"/>
      <c r="Y103" s="10"/>
      <c r="Z103" s="10"/>
      <c r="AA103" s="10"/>
      <c r="AB103" s="10"/>
    </row>
    <row r="104" spans="1:28" ht="115.2" x14ac:dyDescent="0.3">
      <c r="A104" s="43" t="s">
        <v>96</v>
      </c>
      <c r="B104" s="43" t="s">
        <v>97</v>
      </c>
      <c r="C104" s="43" t="s">
        <v>98</v>
      </c>
      <c r="D104" s="43" t="s">
        <v>402</v>
      </c>
      <c r="E104" s="43" t="s">
        <v>399</v>
      </c>
      <c r="F104" s="43" t="s">
        <v>403</v>
      </c>
      <c r="G104" s="43" t="s">
        <v>404</v>
      </c>
      <c r="H104" s="43"/>
      <c r="I104" s="44" t="s">
        <v>103</v>
      </c>
      <c r="J104" s="10"/>
      <c r="K104" s="10"/>
      <c r="L104" s="10"/>
      <c r="M104" s="47" t="str">
        <f t="shared" si="1"/>
        <v>not answered/error</v>
      </c>
      <c r="N104" s="43"/>
      <c r="O104" s="43"/>
      <c r="P104" s="43"/>
      <c r="Q104" s="10" t="s">
        <v>1059</v>
      </c>
      <c r="R104" s="10"/>
      <c r="S104" s="10"/>
      <c r="T104" s="10"/>
      <c r="U104" s="10"/>
      <c r="V104" s="10"/>
      <c r="W104" s="10"/>
      <c r="X104" s="10"/>
      <c r="Y104" s="10"/>
      <c r="Z104" s="10"/>
      <c r="AA104" s="10"/>
      <c r="AB104" s="10"/>
    </row>
    <row r="105" spans="1:28" ht="86.4" x14ac:dyDescent="0.3">
      <c r="A105" s="43" t="s">
        <v>96</v>
      </c>
      <c r="B105" s="43" t="s">
        <v>97</v>
      </c>
      <c r="C105" s="43" t="s">
        <v>98</v>
      </c>
      <c r="D105" s="43" t="s">
        <v>405</v>
      </c>
      <c r="E105" s="43" t="s">
        <v>399</v>
      </c>
      <c r="F105" s="43" t="s">
        <v>406</v>
      </c>
      <c r="G105" s="43" t="s">
        <v>407</v>
      </c>
      <c r="H105" s="43"/>
      <c r="I105" s="44" t="s">
        <v>103</v>
      </c>
      <c r="J105" s="10"/>
      <c r="K105" s="10"/>
      <c r="L105" s="10"/>
      <c r="M105" s="47" t="str">
        <f t="shared" si="1"/>
        <v>not answered/error</v>
      </c>
      <c r="N105" s="43"/>
      <c r="O105" s="43"/>
      <c r="P105" s="43"/>
      <c r="Q105" s="10" t="s">
        <v>1060</v>
      </c>
      <c r="R105" s="10"/>
      <c r="S105" s="10"/>
      <c r="T105" s="10"/>
      <c r="U105" s="10"/>
      <c r="V105" s="10"/>
      <c r="W105" s="10"/>
      <c r="X105" s="10"/>
      <c r="Y105" s="10"/>
      <c r="Z105" s="10"/>
      <c r="AA105" s="10"/>
      <c r="AB105" s="10"/>
    </row>
    <row r="106" spans="1:28" ht="72" x14ac:dyDescent="0.3">
      <c r="A106" s="43" t="s">
        <v>96</v>
      </c>
      <c r="B106" s="43" t="s">
        <v>97</v>
      </c>
      <c r="C106" s="43" t="s">
        <v>98</v>
      </c>
      <c r="D106" s="43" t="s">
        <v>408</v>
      </c>
      <c r="E106" s="43" t="s">
        <v>399</v>
      </c>
      <c r="F106" s="43" t="s">
        <v>409</v>
      </c>
      <c r="G106" s="43" t="s">
        <v>410</v>
      </c>
      <c r="H106" s="43"/>
      <c r="I106" s="44" t="s">
        <v>103</v>
      </c>
      <c r="J106" s="10"/>
      <c r="K106" s="10"/>
      <c r="L106" s="10"/>
      <c r="M106" s="47" t="str">
        <f t="shared" si="1"/>
        <v>not answered/error</v>
      </c>
      <c r="N106" s="43"/>
      <c r="O106" s="43"/>
      <c r="P106" s="43"/>
      <c r="Q106" s="10" t="s">
        <v>1061</v>
      </c>
      <c r="R106" s="10"/>
      <c r="S106" s="10"/>
      <c r="T106" s="10"/>
      <c r="U106" s="10"/>
      <c r="V106" s="10"/>
      <c r="W106" s="10"/>
      <c r="X106" s="10"/>
      <c r="Y106" s="10"/>
      <c r="Z106" s="10"/>
      <c r="AA106" s="10"/>
      <c r="AB106" s="10"/>
    </row>
    <row r="107" spans="1:28" ht="129.6" x14ac:dyDescent="0.3">
      <c r="A107" s="43" t="s">
        <v>96</v>
      </c>
      <c r="B107" s="43" t="s">
        <v>97</v>
      </c>
      <c r="C107" s="43" t="s">
        <v>98</v>
      </c>
      <c r="D107" s="43" t="s">
        <v>411</v>
      </c>
      <c r="E107" s="43" t="s">
        <v>399</v>
      </c>
      <c r="F107" s="43" t="s">
        <v>412</v>
      </c>
      <c r="G107" s="43" t="s">
        <v>413</v>
      </c>
      <c r="H107" s="43"/>
      <c r="I107" s="44" t="s">
        <v>103</v>
      </c>
      <c r="J107" s="10"/>
      <c r="K107" s="10"/>
      <c r="L107" s="10"/>
      <c r="M107" s="47" t="str">
        <f t="shared" si="1"/>
        <v>not answered/error</v>
      </c>
      <c r="N107" s="43"/>
      <c r="O107" s="43"/>
      <c r="P107" s="43"/>
      <c r="Q107" s="10" t="s">
        <v>1062</v>
      </c>
      <c r="R107" s="10"/>
      <c r="S107" s="10"/>
      <c r="T107" s="10"/>
      <c r="U107" s="10"/>
      <c r="V107" s="10"/>
      <c r="W107" s="10"/>
      <c r="X107" s="10"/>
      <c r="Y107" s="10"/>
      <c r="Z107" s="10"/>
      <c r="AA107" s="10"/>
      <c r="AB107" s="10"/>
    </row>
    <row r="108" spans="1:28" ht="86.4" x14ac:dyDescent="0.3">
      <c r="A108" s="43" t="s">
        <v>96</v>
      </c>
      <c r="B108" s="43" t="s">
        <v>97</v>
      </c>
      <c r="C108" s="43" t="s">
        <v>98</v>
      </c>
      <c r="D108" s="43" t="s">
        <v>414</v>
      </c>
      <c r="E108" s="43" t="s">
        <v>399</v>
      </c>
      <c r="F108" s="43" t="s">
        <v>415</v>
      </c>
      <c r="G108" s="43" t="s">
        <v>416</v>
      </c>
      <c r="H108" s="43"/>
      <c r="I108" s="45" t="s">
        <v>203</v>
      </c>
      <c r="J108" s="10"/>
      <c r="K108" s="10"/>
      <c r="L108" s="10"/>
      <c r="M108" s="47" t="str">
        <f t="shared" si="1"/>
        <v>not answered/error</v>
      </c>
      <c r="N108" s="43"/>
      <c r="O108" s="43"/>
      <c r="P108" s="43"/>
      <c r="Q108" s="10" t="s">
        <v>1063</v>
      </c>
      <c r="R108" s="10"/>
      <c r="S108" s="10"/>
      <c r="T108" s="10"/>
      <c r="U108" s="10"/>
      <c r="V108" s="10"/>
      <c r="W108" s="10"/>
      <c r="X108" s="10"/>
      <c r="Y108" s="10"/>
      <c r="Z108" s="10"/>
      <c r="AA108" s="10"/>
      <c r="AB108" s="10"/>
    </row>
    <row r="109" spans="1:28" ht="86.4" x14ac:dyDescent="0.3">
      <c r="A109" s="43" t="s">
        <v>96</v>
      </c>
      <c r="B109" s="43" t="s">
        <v>97</v>
      </c>
      <c r="C109" s="43" t="s">
        <v>98</v>
      </c>
      <c r="D109" s="43" t="s">
        <v>417</v>
      </c>
      <c r="E109" s="43" t="s">
        <v>399</v>
      </c>
      <c r="F109" s="43" t="s">
        <v>418</v>
      </c>
      <c r="G109" s="43" t="s">
        <v>419</v>
      </c>
      <c r="H109" s="43"/>
      <c r="I109" s="44" t="s">
        <v>103</v>
      </c>
      <c r="J109" s="10"/>
      <c r="K109" s="10"/>
      <c r="L109" s="10"/>
      <c r="M109" s="47" t="str">
        <f t="shared" si="1"/>
        <v>not answered/error</v>
      </c>
      <c r="N109" s="43"/>
      <c r="O109" s="43"/>
      <c r="P109" s="43"/>
      <c r="Q109" s="10" t="s">
        <v>1064</v>
      </c>
      <c r="R109" s="10"/>
      <c r="S109" s="10"/>
      <c r="T109" s="10"/>
      <c r="U109" s="10"/>
      <c r="V109" s="10"/>
      <c r="W109" s="10"/>
      <c r="X109" s="10"/>
      <c r="Y109" s="10"/>
      <c r="Z109" s="10"/>
      <c r="AA109" s="10"/>
      <c r="AB109" s="10"/>
    </row>
    <row r="110" spans="1:28" ht="100.8" x14ac:dyDescent="0.3">
      <c r="A110" s="43" t="s">
        <v>96</v>
      </c>
      <c r="B110" s="43" t="s">
        <v>97</v>
      </c>
      <c r="C110" s="43" t="s">
        <v>98</v>
      </c>
      <c r="D110" s="43" t="s">
        <v>420</v>
      </c>
      <c r="E110" s="43" t="s">
        <v>399</v>
      </c>
      <c r="F110" s="43" t="s">
        <v>421</v>
      </c>
      <c r="G110" s="43" t="s">
        <v>422</v>
      </c>
      <c r="H110" s="43"/>
      <c r="I110" s="44" t="s">
        <v>103</v>
      </c>
      <c r="J110" s="10"/>
      <c r="K110" s="10"/>
      <c r="L110" s="10"/>
      <c r="M110" s="47" t="str">
        <f t="shared" si="1"/>
        <v>not answered/error</v>
      </c>
      <c r="N110" s="43"/>
      <c r="O110" s="43"/>
      <c r="P110" s="43"/>
      <c r="Q110" s="10" t="s">
        <v>1065</v>
      </c>
      <c r="R110" s="10"/>
      <c r="S110" s="10"/>
      <c r="T110" s="10"/>
      <c r="U110" s="10"/>
      <c r="V110" s="10"/>
      <c r="W110" s="10"/>
      <c r="X110" s="10"/>
      <c r="Y110" s="10"/>
      <c r="Z110" s="10"/>
      <c r="AA110" s="10"/>
      <c r="AB110" s="10"/>
    </row>
    <row r="111" spans="1:28" ht="86.4" x14ac:dyDescent="0.3">
      <c r="A111" s="43" t="s">
        <v>96</v>
      </c>
      <c r="B111" s="43" t="s">
        <v>97</v>
      </c>
      <c r="C111" s="43" t="s">
        <v>98</v>
      </c>
      <c r="D111" s="43" t="s">
        <v>423</v>
      </c>
      <c r="E111" s="43" t="s">
        <v>399</v>
      </c>
      <c r="F111" s="43" t="s">
        <v>424</v>
      </c>
      <c r="G111" s="43" t="s">
        <v>425</v>
      </c>
      <c r="H111" s="43"/>
      <c r="I111" s="44" t="s">
        <v>103</v>
      </c>
      <c r="J111" s="10"/>
      <c r="K111" s="10"/>
      <c r="L111" s="10"/>
      <c r="M111" s="47" t="str">
        <f t="shared" si="1"/>
        <v>not answered/error</v>
      </c>
      <c r="N111" s="43"/>
      <c r="O111" s="43"/>
      <c r="P111" s="43"/>
      <c r="Q111" s="10" t="s">
        <v>1066</v>
      </c>
      <c r="R111" s="10"/>
      <c r="S111" s="10"/>
      <c r="T111" s="10"/>
      <c r="U111" s="10"/>
      <c r="V111" s="10"/>
      <c r="W111" s="10"/>
      <c r="X111" s="10"/>
      <c r="Y111" s="10"/>
      <c r="Z111" s="10"/>
      <c r="AA111" s="10"/>
      <c r="AB111" s="10"/>
    </row>
    <row r="112" spans="1:28" ht="115.2" x14ac:dyDescent="0.3">
      <c r="A112" s="43" t="s">
        <v>96</v>
      </c>
      <c r="B112" s="43" t="s">
        <v>97</v>
      </c>
      <c r="C112" s="43" t="s">
        <v>98</v>
      </c>
      <c r="D112" s="43" t="s">
        <v>426</v>
      </c>
      <c r="E112" s="43" t="s">
        <v>427</v>
      </c>
      <c r="F112" s="43" t="s">
        <v>428</v>
      </c>
      <c r="G112" s="43" t="s">
        <v>429</v>
      </c>
      <c r="H112" s="43"/>
      <c r="I112" s="44" t="s">
        <v>103</v>
      </c>
      <c r="J112" s="9"/>
      <c r="K112" s="9"/>
      <c r="L112" s="9"/>
      <c r="M112" s="47" t="str">
        <f t="shared" si="1"/>
        <v>not answered/error</v>
      </c>
      <c r="N112" s="43"/>
      <c r="O112" s="43"/>
      <c r="P112" s="43"/>
      <c r="Q112" s="10" t="s">
        <v>1067</v>
      </c>
      <c r="R112" s="10"/>
      <c r="S112" s="10"/>
      <c r="T112" s="10"/>
      <c r="U112" s="10"/>
      <c r="V112" s="10"/>
      <c r="W112" s="10"/>
      <c r="X112" s="10"/>
      <c r="Y112" s="10"/>
      <c r="Z112" s="10"/>
      <c r="AA112" s="10"/>
      <c r="AB112" s="10"/>
    </row>
    <row r="113" spans="1:28" ht="144" x14ac:dyDescent="0.3">
      <c r="A113" s="43" t="s">
        <v>96</v>
      </c>
      <c r="B113" s="43" t="s">
        <v>97</v>
      </c>
      <c r="C113" s="43" t="s">
        <v>98</v>
      </c>
      <c r="D113" s="43" t="s">
        <v>430</v>
      </c>
      <c r="E113" s="43" t="s">
        <v>427</v>
      </c>
      <c r="F113" s="43" t="s">
        <v>431</v>
      </c>
      <c r="G113" s="43" t="s">
        <v>432</v>
      </c>
      <c r="H113" s="43"/>
      <c r="I113" s="44" t="s">
        <v>103</v>
      </c>
      <c r="J113" s="9"/>
      <c r="K113" s="9"/>
      <c r="L113" s="9"/>
      <c r="M113" s="47" t="str">
        <f t="shared" si="1"/>
        <v>not answered/error</v>
      </c>
      <c r="N113" s="43"/>
      <c r="O113" s="43"/>
      <c r="P113" s="43"/>
      <c r="Q113" s="10" t="s">
        <v>1068</v>
      </c>
      <c r="R113" s="10"/>
      <c r="S113" s="10"/>
      <c r="T113" s="10"/>
      <c r="U113" s="10"/>
      <c r="V113" s="10"/>
      <c r="W113" s="10"/>
      <c r="X113" s="10"/>
      <c r="Y113" s="10"/>
      <c r="Z113" s="10"/>
      <c r="AA113" s="10"/>
      <c r="AB113" s="10"/>
    </row>
    <row r="114" spans="1:28" ht="100.8" x14ac:dyDescent="0.3">
      <c r="A114" s="43" t="s">
        <v>96</v>
      </c>
      <c r="B114" s="43" t="s">
        <v>97</v>
      </c>
      <c r="C114" s="43" t="s">
        <v>98</v>
      </c>
      <c r="D114" s="43" t="s">
        <v>433</v>
      </c>
      <c r="E114" s="43" t="s">
        <v>427</v>
      </c>
      <c r="F114" s="43" t="s">
        <v>434</v>
      </c>
      <c r="G114" s="43" t="s">
        <v>435</v>
      </c>
      <c r="H114" s="43"/>
      <c r="I114" s="44" t="s">
        <v>103</v>
      </c>
      <c r="J114" s="10"/>
      <c r="K114" s="10"/>
      <c r="L114" s="10"/>
      <c r="M114" s="47" t="str">
        <f t="shared" si="1"/>
        <v>not answered/error</v>
      </c>
      <c r="N114" s="43"/>
      <c r="O114" s="43"/>
      <c r="P114" s="43"/>
      <c r="Q114" s="10" t="s">
        <v>1069</v>
      </c>
      <c r="R114" s="10"/>
      <c r="S114" s="10"/>
      <c r="T114" s="10"/>
      <c r="U114" s="10"/>
      <c r="V114" s="10"/>
      <c r="W114" s="10"/>
      <c r="X114" s="10"/>
      <c r="Y114" s="10"/>
      <c r="Z114" s="10"/>
      <c r="AA114" s="10"/>
      <c r="AB114" s="10"/>
    </row>
    <row r="115" spans="1:28" ht="100.8" x14ac:dyDescent="0.3">
      <c r="A115" s="43" t="s">
        <v>96</v>
      </c>
      <c r="B115" s="43" t="s">
        <v>97</v>
      </c>
      <c r="C115" s="43" t="s">
        <v>98</v>
      </c>
      <c r="D115" s="43" t="s">
        <v>436</v>
      </c>
      <c r="E115" s="43" t="s">
        <v>427</v>
      </c>
      <c r="F115" s="43" t="s">
        <v>437</v>
      </c>
      <c r="G115" s="43" t="s">
        <v>438</v>
      </c>
      <c r="H115" s="43"/>
      <c r="I115" s="44" t="s">
        <v>103</v>
      </c>
      <c r="J115" s="9"/>
      <c r="K115" s="9"/>
      <c r="L115" s="9"/>
      <c r="M115" s="47" t="str">
        <f t="shared" si="1"/>
        <v>not answered/error</v>
      </c>
      <c r="N115" s="43"/>
      <c r="O115" s="43"/>
      <c r="P115" s="43"/>
      <c r="Q115" s="10"/>
      <c r="R115" s="10"/>
      <c r="S115" s="10"/>
      <c r="T115" s="10"/>
      <c r="U115" s="10"/>
      <c r="V115" s="10"/>
      <c r="W115" s="10"/>
      <c r="X115" s="10"/>
      <c r="Y115" s="10"/>
      <c r="Z115" s="10"/>
      <c r="AA115" s="10"/>
      <c r="AB115" s="10"/>
    </row>
    <row r="116" spans="1:28" ht="72" x14ac:dyDescent="0.3">
      <c r="A116" s="43" t="s">
        <v>96</v>
      </c>
      <c r="B116" s="43" t="s">
        <v>97</v>
      </c>
      <c r="C116" s="43" t="s">
        <v>98</v>
      </c>
      <c r="D116" s="43" t="s">
        <v>439</v>
      </c>
      <c r="E116" s="43" t="s">
        <v>427</v>
      </c>
      <c r="F116" s="43" t="s">
        <v>440</v>
      </c>
      <c r="G116" s="43" t="s">
        <v>441</v>
      </c>
      <c r="H116" s="43"/>
      <c r="I116" s="44" t="s">
        <v>103</v>
      </c>
      <c r="J116" s="9"/>
      <c r="K116" s="9"/>
      <c r="L116" s="9"/>
      <c r="M116" s="47" t="str">
        <f t="shared" si="1"/>
        <v>not answered/error</v>
      </c>
      <c r="N116" s="43"/>
      <c r="O116" s="43"/>
      <c r="P116" s="43"/>
      <c r="Q116" s="10"/>
      <c r="R116" s="10"/>
      <c r="S116" s="10"/>
      <c r="T116" s="10"/>
      <c r="U116" s="10"/>
      <c r="V116" s="10"/>
      <c r="W116" s="10"/>
      <c r="X116" s="10"/>
      <c r="Y116" s="10"/>
      <c r="Z116" s="10"/>
      <c r="AA116" s="10"/>
      <c r="AB116" s="10"/>
    </row>
    <row r="117" spans="1:28" ht="72" x14ac:dyDescent="0.3">
      <c r="A117" s="43" t="s">
        <v>96</v>
      </c>
      <c r="B117" s="43" t="s">
        <v>97</v>
      </c>
      <c r="C117" s="43" t="s">
        <v>98</v>
      </c>
      <c r="D117" s="43" t="s">
        <v>442</v>
      </c>
      <c r="E117" s="43" t="s">
        <v>427</v>
      </c>
      <c r="F117" s="43" t="s">
        <v>443</v>
      </c>
      <c r="G117" s="43" t="s">
        <v>444</v>
      </c>
      <c r="H117" s="43"/>
      <c r="I117" s="44" t="s">
        <v>103</v>
      </c>
      <c r="J117" s="10"/>
      <c r="K117" s="10"/>
      <c r="L117" s="10"/>
      <c r="M117" s="47" t="str">
        <f t="shared" si="1"/>
        <v>not answered/error</v>
      </c>
      <c r="N117" s="43"/>
      <c r="O117" s="43"/>
      <c r="P117" s="43"/>
      <c r="Q117" s="10"/>
      <c r="R117" s="10"/>
      <c r="S117" s="10"/>
      <c r="T117" s="10"/>
      <c r="U117" s="10"/>
      <c r="V117" s="10"/>
      <c r="W117" s="10"/>
      <c r="X117" s="10"/>
      <c r="Y117" s="10"/>
      <c r="Z117" s="10"/>
      <c r="AA117" s="10"/>
      <c r="AB117" s="10"/>
    </row>
    <row r="118" spans="1:28" ht="201.6" x14ac:dyDescent="0.3">
      <c r="A118" s="43" t="s">
        <v>96</v>
      </c>
      <c r="B118" s="43" t="s">
        <v>97</v>
      </c>
      <c r="C118" s="43" t="s">
        <v>98</v>
      </c>
      <c r="D118" s="43" t="s">
        <v>445</v>
      </c>
      <c r="E118" s="43" t="s">
        <v>427</v>
      </c>
      <c r="F118" s="43" t="s">
        <v>446</v>
      </c>
      <c r="G118" s="43" t="s">
        <v>447</v>
      </c>
      <c r="H118" s="43"/>
      <c r="I118" s="44" t="s">
        <v>103</v>
      </c>
      <c r="J118" s="9"/>
      <c r="K118" s="9"/>
      <c r="L118" s="9"/>
      <c r="M118" s="47" t="str">
        <f t="shared" si="1"/>
        <v>not answered/error</v>
      </c>
      <c r="N118" s="43"/>
      <c r="O118" s="43"/>
      <c r="P118" s="43"/>
      <c r="Q118" s="10"/>
      <c r="R118" s="10"/>
      <c r="S118" s="10"/>
      <c r="T118" s="10"/>
      <c r="U118" s="10"/>
      <c r="V118" s="10"/>
      <c r="W118" s="10"/>
      <c r="X118" s="10"/>
      <c r="Y118" s="10"/>
      <c r="Z118" s="10"/>
      <c r="AA118" s="10"/>
      <c r="AB118" s="10"/>
    </row>
    <row r="119" spans="1:28" ht="158.4" x14ac:dyDescent="0.3">
      <c r="A119" s="43" t="s">
        <v>96</v>
      </c>
      <c r="B119" s="43" t="s">
        <v>97</v>
      </c>
      <c r="C119" s="43" t="s">
        <v>98</v>
      </c>
      <c r="D119" s="43" t="s">
        <v>448</v>
      </c>
      <c r="E119" s="43" t="s">
        <v>427</v>
      </c>
      <c r="F119" s="43" t="s">
        <v>449</v>
      </c>
      <c r="G119" s="43" t="s">
        <v>450</v>
      </c>
      <c r="H119" s="43"/>
      <c r="I119" s="44" t="s">
        <v>103</v>
      </c>
      <c r="J119" s="9"/>
      <c r="K119" s="9"/>
      <c r="L119" s="9"/>
      <c r="M119" s="47" t="str">
        <f t="shared" si="1"/>
        <v>not answered/error</v>
      </c>
      <c r="N119" s="43"/>
      <c r="O119" s="43"/>
      <c r="P119" s="43"/>
      <c r="Q119" s="10" t="s">
        <v>1070</v>
      </c>
      <c r="R119" s="10"/>
      <c r="S119" s="10"/>
      <c r="T119" s="10"/>
      <c r="U119" s="10"/>
      <c r="V119" s="10"/>
      <c r="W119" s="10"/>
      <c r="X119" s="10"/>
      <c r="Y119" s="10"/>
      <c r="Z119" s="10"/>
      <c r="AA119" s="10"/>
      <c r="AB119" s="10"/>
    </row>
    <row r="120" spans="1:28" ht="187.2" x14ac:dyDescent="0.3">
      <c r="A120" s="43" t="s">
        <v>96</v>
      </c>
      <c r="B120" s="43" t="s">
        <v>97</v>
      </c>
      <c r="C120" s="43" t="s">
        <v>98</v>
      </c>
      <c r="D120" s="43" t="s">
        <v>451</v>
      </c>
      <c r="E120" s="43" t="s">
        <v>427</v>
      </c>
      <c r="F120" s="43" t="s">
        <v>452</v>
      </c>
      <c r="G120" s="43" t="s">
        <v>453</v>
      </c>
      <c r="H120" s="43"/>
      <c r="I120" s="44" t="s">
        <v>103</v>
      </c>
      <c r="J120" s="9"/>
      <c r="K120" s="9"/>
      <c r="L120" s="9"/>
      <c r="M120" s="47" t="str">
        <f t="shared" si="1"/>
        <v>not answered/error</v>
      </c>
      <c r="N120" s="43"/>
      <c r="O120" s="43"/>
      <c r="P120" s="43"/>
      <c r="Q120" s="10" t="s">
        <v>1071</v>
      </c>
      <c r="R120" s="10"/>
      <c r="S120" s="10"/>
      <c r="T120" s="10"/>
      <c r="U120" s="10"/>
      <c r="V120" s="10"/>
      <c r="W120" s="10"/>
      <c r="X120" s="10"/>
      <c r="Y120" s="10"/>
      <c r="Z120" s="10"/>
      <c r="AA120" s="10"/>
      <c r="AB120" s="10"/>
    </row>
    <row r="121" spans="1:28" ht="115.2" x14ac:dyDescent="0.3">
      <c r="A121" s="43" t="s">
        <v>96</v>
      </c>
      <c r="B121" s="43" t="s">
        <v>97</v>
      </c>
      <c r="C121" s="43" t="s">
        <v>98</v>
      </c>
      <c r="D121" s="43" t="s">
        <v>454</v>
      </c>
      <c r="E121" s="43" t="s">
        <v>427</v>
      </c>
      <c r="F121" s="43" t="s">
        <v>455</v>
      </c>
      <c r="G121" s="43" t="s">
        <v>456</v>
      </c>
      <c r="H121" s="43"/>
      <c r="I121" s="44" t="s">
        <v>103</v>
      </c>
      <c r="J121" s="9"/>
      <c r="K121" s="9"/>
      <c r="L121" s="9"/>
      <c r="M121" s="47" t="str">
        <f t="shared" si="1"/>
        <v>not answered/error</v>
      </c>
      <c r="N121" s="43"/>
      <c r="O121" s="43"/>
      <c r="P121" s="43"/>
      <c r="Q121" s="10" t="s">
        <v>1072</v>
      </c>
      <c r="R121" s="10"/>
      <c r="S121" s="10"/>
      <c r="T121" s="10"/>
      <c r="U121" s="10"/>
      <c r="V121" s="10"/>
      <c r="W121" s="10"/>
      <c r="X121" s="10"/>
      <c r="Y121" s="10"/>
      <c r="Z121" s="10"/>
      <c r="AA121" s="10"/>
      <c r="AB121" s="10"/>
    </row>
    <row r="122" spans="1:28" ht="144" x14ac:dyDescent="0.3">
      <c r="A122" s="43" t="s">
        <v>96</v>
      </c>
      <c r="B122" s="43" t="s">
        <v>97</v>
      </c>
      <c r="C122" s="43" t="s">
        <v>98</v>
      </c>
      <c r="D122" s="43" t="s">
        <v>457</v>
      </c>
      <c r="E122" s="43" t="s">
        <v>427</v>
      </c>
      <c r="F122" s="43" t="s">
        <v>458</v>
      </c>
      <c r="G122" s="43" t="s">
        <v>459</v>
      </c>
      <c r="H122" s="43"/>
      <c r="I122" s="44" t="s">
        <v>103</v>
      </c>
      <c r="J122" s="9"/>
      <c r="K122" s="9"/>
      <c r="L122" s="9"/>
      <c r="M122" s="47" t="str">
        <f t="shared" si="1"/>
        <v>not answered/error</v>
      </c>
      <c r="N122" s="43"/>
      <c r="O122" s="43"/>
      <c r="P122" s="43"/>
      <c r="Q122" s="10" t="s">
        <v>1073</v>
      </c>
      <c r="R122" s="10"/>
      <c r="S122" s="10"/>
      <c r="T122" s="10"/>
      <c r="U122" s="10"/>
      <c r="V122" s="10"/>
      <c r="W122" s="10"/>
      <c r="X122" s="10"/>
      <c r="Y122" s="10"/>
      <c r="Z122" s="10"/>
      <c r="AA122" s="10"/>
      <c r="AB122" s="10"/>
    </row>
    <row r="123" spans="1:28" ht="43.2" x14ac:dyDescent="0.3">
      <c r="A123" s="43" t="s">
        <v>96</v>
      </c>
      <c r="B123" s="43" t="s">
        <v>97</v>
      </c>
      <c r="C123" s="43" t="s">
        <v>98</v>
      </c>
      <c r="D123" s="43" t="s">
        <v>460</v>
      </c>
      <c r="E123" s="43" t="s">
        <v>427</v>
      </c>
      <c r="F123" s="43" t="s">
        <v>461</v>
      </c>
      <c r="G123" s="43" t="s">
        <v>462</v>
      </c>
      <c r="H123" s="43"/>
      <c r="I123" s="45" t="s">
        <v>203</v>
      </c>
      <c r="J123" s="10"/>
      <c r="K123" s="10"/>
      <c r="L123" s="10"/>
      <c r="M123" s="47" t="str">
        <f t="shared" si="1"/>
        <v>not answered/error</v>
      </c>
      <c r="N123" s="43"/>
      <c r="O123" s="43"/>
      <c r="P123" s="43"/>
      <c r="Q123" s="10"/>
      <c r="R123" s="10"/>
      <c r="S123" s="10"/>
      <c r="T123" s="10"/>
      <c r="U123" s="10"/>
      <c r="V123" s="10"/>
      <c r="W123" s="10"/>
      <c r="X123" s="10"/>
      <c r="Y123" s="10"/>
      <c r="Z123" s="10"/>
      <c r="AA123" s="10"/>
      <c r="AB123" s="10"/>
    </row>
    <row r="124" spans="1:28" ht="409.6" x14ac:dyDescent="0.3">
      <c r="A124" s="43" t="s">
        <v>96</v>
      </c>
      <c r="B124" s="43" t="s">
        <v>97</v>
      </c>
      <c r="C124" s="43" t="s">
        <v>98</v>
      </c>
      <c r="D124" s="43" t="s">
        <v>463</v>
      </c>
      <c r="E124" s="43" t="s">
        <v>464</v>
      </c>
      <c r="F124" s="43" t="s">
        <v>465</v>
      </c>
      <c r="G124" s="43" t="s">
        <v>466</v>
      </c>
      <c r="H124" s="43"/>
      <c r="I124" s="44" t="s">
        <v>103</v>
      </c>
      <c r="J124" s="9"/>
      <c r="K124" s="9"/>
      <c r="L124" s="9"/>
      <c r="M124" s="47" t="str">
        <f t="shared" si="1"/>
        <v>not answered/error</v>
      </c>
      <c r="N124" s="43"/>
      <c r="O124" s="43"/>
      <c r="P124" s="43"/>
      <c r="Q124" s="10" t="s">
        <v>1074</v>
      </c>
      <c r="R124" s="10"/>
      <c r="S124" s="10"/>
      <c r="T124" s="10"/>
      <c r="U124" s="10"/>
      <c r="V124" s="10"/>
      <c r="W124" s="10"/>
      <c r="X124" s="10"/>
      <c r="Y124" s="10"/>
      <c r="Z124" s="10"/>
      <c r="AA124" s="10"/>
      <c r="AB124" s="10"/>
    </row>
    <row r="125" spans="1:28" ht="172.8" x14ac:dyDescent="0.3">
      <c r="A125" s="43" t="s">
        <v>96</v>
      </c>
      <c r="B125" s="43" t="s">
        <v>97</v>
      </c>
      <c r="C125" s="43" t="s">
        <v>98</v>
      </c>
      <c r="D125" s="43" t="s">
        <v>467</v>
      </c>
      <c r="E125" s="43" t="s">
        <v>464</v>
      </c>
      <c r="F125" s="43" t="s">
        <v>468</v>
      </c>
      <c r="G125" s="43" t="s">
        <v>469</v>
      </c>
      <c r="H125" s="43"/>
      <c r="I125" s="44" t="s">
        <v>103</v>
      </c>
      <c r="J125" s="10"/>
      <c r="K125" s="10"/>
      <c r="L125" s="10"/>
      <c r="M125" s="47" t="str">
        <f t="shared" si="1"/>
        <v>not answered/error</v>
      </c>
      <c r="N125" s="43"/>
      <c r="O125" s="43"/>
      <c r="P125" s="43"/>
      <c r="Q125" s="10" t="s">
        <v>1075</v>
      </c>
      <c r="R125" s="10"/>
      <c r="S125" s="10"/>
      <c r="T125" s="10"/>
      <c r="U125" s="10"/>
      <c r="V125" s="10"/>
      <c r="W125" s="10"/>
      <c r="X125" s="10"/>
      <c r="Y125" s="10"/>
      <c r="Z125" s="10"/>
      <c r="AA125" s="10"/>
      <c r="AB125" s="10"/>
    </row>
    <row r="126" spans="1:28" ht="72" x14ac:dyDescent="0.3">
      <c r="A126" s="43" t="s">
        <v>96</v>
      </c>
      <c r="B126" s="43" t="s">
        <v>97</v>
      </c>
      <c r="C126" s="43" t="s">
        <v>98</v>
      </c>
      <c r="D126" s="43" t="s">
        <v>470</v>
      </c>
      <c r="E126" s="43" t="s">
        <v>464</v>
      </c>
      <c r="F126" s="43" t="s">
        <v>471</v>
      </c>
      <c r="G126" s="43" t="s">
        <v>472</v>
      </c>
      <c r="H126" s="43"/>
      <c r="I126" s="44" t="s">
        <v>103</v>
      </c>
      <c r="J126" s="9"/>
      <c r="K126" s="9"/>
      <c r="L126" s="9"/>
      <c r="M126" s="47" t="str">
        <f t="shared" si="1"/>
        <v>not answered/error</v>
      </c>
      <c r="N126" s="43"/>
      <c r="O126" s="43"/>
      <c r="P126" s="43"/>
      <c r="Q126" s="10" t="s">
        <v>1076</v>
      </c>
      <c r="R126" s="10"/>
      <c r="S126" s="10"/>
      <c r="T126" s="10"/>
      <c r="U126" s="10"/>
      <c r="V126" s="10"/>
      <c r="W126" s="10"/>
      <c r="X126" s="10"/>
      <c r="Y126" s="10"/>
      <c r="Z126" s="10"/>
      <c r="AA126" s="10"/>
      <c r="AB126" s="10"/>
    </row>
    <row r="127" spans="1:28" ht="72" x14ac:dyDescent="0.3">
      <c r="A127" s="43" t="s">
        <v>96</v>
      </c>
      <c r="B127" s="43" t="s">
        <v>97</v>
      </c>
      <c r="C127" s="43" t="s">
        <v>98</v>
      </c>
      <c r="D127" s="43" t="s">
        <v>473</v>
      </c>
      <c r="E127" s="43" t="s">
        <v>464</v>
      </c>
      <c r="F127" s="43" t="s">
        <v>474</v>
      </c>
      <c r="G127" s="43" t="s">
        <v>475</v>
      </c>
      <c r="H127" s="43"/>
      <c r="I127" s="46" t="s">
        <v>266</v>
      </c>
      <c r="J127" s="10"/>
      <c r="K127" s="10"/>
      <c r="L127" s="10"/>
      <c r="M127" s="47" t="str">
        <f t="shared" si="1"/>
        <v>not answered/error</v>
      </c>
      <c r="N127" s="43"/>
      <c r="O127" s="43"/>
      <c r="P127" s="43"/>
      <c r="Q127" s="10" t="s">
        <v>1077</v>
      </c>
      <c r="R127" s="10"/>
      <c r="S127" s="10"/>
      <c r="T127" s="10"/>
      <c r="U127" s="10"/>
      <c r="V127" s="10"/>
      <c r="W127" s="10"/>
      <c r="X127" s="10"/>
      <c r="Y127" s="10"/>
      <c r="Z127" s="10"/>
      <c r="AA127" s="10"/>
      <c r="AB127" s="10"/>
    </row>
    <row r="128" spans="1:28" ht="409.6" x14ac:dyDescent="0.3">
      <c r="A128" s="43" t="s">
        <v>96</v>
      </c>
      <c r="B128" s="43" t="s">
        <v>97</v>
      </c>
      <c r="C128" s="43" t="s">
        <v>98</v>
      </c>
      <c r="D128" s="43" t="s">
        <v>476</v>
      </c>
      <c r="E128" s="43" t="s">
        <v>464</v>
      </c>
      <c r="F128" s="43" t="s">
        <v>477</v>
      </c>
      <c r="G128" s="43" t="s">
        <v>478</v>
      </c>
      <c r="H128" s="43"/>
      <c r="I128" s="44" t="s">
        <v>103</v>
      </c>
      <c r="J128" s="9"/>
      <c r="K128" s="9"/>
      <c r="L128" s="9"/>
      <c r="M128" s="47" t="str">
        <f t="shared" si="1"/>
        <v>not answered/error</v>
      </c>
      <c r="N128" s="43"/>
      <c r="O128" s="43"/>
      <c r="P128" s="43"/>
      <c r="Q128" s="10" t="s">
        <v>1078</v>
      </c>
      <c r="R128" s="10"/>
      <c r="S128" s="10"/>
      <c r="T128" s="10"/>
      <c r="U128" s="10"/>
      <c r="V128" s="10"/>
      <c r="W128" s="10"/>
      <c r="X128" s="10"/>
      <c r="Y128" s="10"/>
      <c r="Z128" s="10"/>
      <c r="AA128" s="10"/>
      <c r="AB128" s="10"/>
    </row>
    <row r="129" spans="1:28" ht="72" x14ac:dyDescent="0.3">
      <c r="A129" s="43" t="s">
        <v>96</v>
      </c>
      <c r="B129" s="43" t="s">
        <v>97</v>
      </c>
      <c r="C129" s="43" t="s">
        <v>98</v>
      </c>
      <c r="D129" s="43" t="s">
        <v>479</v>
      </c>
      <c r="E129" s="43" t="s">
        <v>464</v>
      </c>
      <c r="F129" s="43" t="s">
        <v>480</v>
      </c>
      <c r="G129" s="43" t="s">
        <v>481</v>
      </c>
      <c r="H129" s="43"/>
      <c r="I129" s="44" t="s">
        <v>103</v>
      </c>
      <c r="J129" s="10"/>
      <c r="K129" s="10"/>
      <c r="L129" s="10"/>
      <c r="M129" s="47" t="str">
        <f t="shared" si="1"/>
        <v>not answered/error</v>
      </c>
      <c r="N129" s="43"/>
      <c r="O129" s="43"/>
      <c r="P129" s="43"/>
      <c r="Q129" s="10" t="s">
        <v>1079</v>
      </c>
      <c r="R129" s="10"/>
      <c r="S129" s="10"/>
      <c r="T129" s="10"/>
      <c r="U129" s="10"/>
      <c r="V129" s="10"/>
      <c r="W129" s="10"/>
      <c r="X129" s="10"/>
      <c r="Y129" s="10"/>
      <c r="Z129" s="10"/>
      <c r="AA129" s="10"/>
      <c r="AB129" s="10"/>
    </row>
    <row r="130" spans="1:28" ht="409.6" x14ac:dyDescent="0.3">
      <c r="A130" s="43" t="s">
        <v>96</v>
      </c>
      <c r="B130" s="43" t="s">
        <v>97</v>
      </c>
      <c r="C130" s="43" t="s">
        <v>98</v>
      </c>
      <c r="D130" s="43" t="s">
        <v>482</v>
      </c>
      <c r="E130" s="43" t="s">
        <v>464</v>
      </c>
      <c r="F130" s="43" t="s">
        <v>483</v>
      </c>
      <c r="G130" s="43" t="s">
        <v>484</v>
      </c>
      <c r="H130" s="43"/>
      <c r="I130" s="44" t="s">
        <v>103</v>
      </c>
      <c r="J130" s="9"/>
      <c r="K130" s="9"/>
      <c r="L130" s="9"/>
      <c r="M130" s="47" t="str">
        <f t="shared" si="1"/>
        <v>not answered/error</v>
      </c>
      <c r="N130" s="43"/>
      <c r="O130" s="43"/>
      <c r="P130" s="43"/>
      <c r="Q130" s="10" t="s">
        <v>1080</v>
      </c>
      <c r="R130" s="10"/>
      <c r="S130" s="10"/>
      <c r="T130" s="10"/>
      <c r="U130" s="10"/>
      <c r="V130" s="10"/>
      <c r="W130" s="10"/>
      <c r="X130" s="10"/>
      <c r="Y130" s="10"/>
      <c r="Z130" s="10"/>
      <c r="AA130" s="10"/>
      <c r="AB130" s="10"/>
    </row>
    <row r="131" spans="1:28" ht="72" x14ac:dyDescent="0.3">
      <c r="A131" s="43" t="s">
        <v>96</v>
      </c>
      <c r="B131" s="43" t="s">
        <v>97</v>
      </c>
      <c r="C131" s="43" t="s">
        <v>98</v>
      </c>
      <c r="D131" s="43" t="s">
        <v>485</v>
      </c>
      <c r="E131" s="43" t="s">
        <v>464</v>
      </c>
      <c r="F131" s="43" t="s">
        <v>486</v>
      </c>
      <c r="G131" s="43" t="s">
        <v>487</v>
      </c>
      <c r="H131" s="43"/>
      <c r="I131" s="44" t="s">
        <v>103</v>
      </c>
      <c r="J131" s="10"/>
      <c r="K131" s="10"/>
      <c r="L131" s="10"/>
      <c r="M131" s="47" t="str">
        <f t="shared" si="1"/>
        <v>not answered/error</v>
      </c>
      <c r="N131" s="43"/>
      <c r="O131" s="43"/>
      <c r="P131" s="43"/>
      <c r="Q131" s="10"/>
      <c r="R131" s="10"/>
      <c r="S131" s="10"/>
      <c r="T131" s="10"/>
      <c r="U131" s="10"/>
      <c r="V131" s="10"/>
      <c r="W131" s="10"/>
      <c r="X131" s="10"/>
      <c r="Y131" s="10"/>
      <c r="Z131" s="10"/>
      <c r="AA131" s="10"/>
      <c r="AB131" s="10"/>
    </row>
    <row r="132" spans="1:28" ht="144" x14ac:dyDescent="0.3">
      <c r="A132" s="43" t="s">
        <v>96</v>
      </c>
      <c r="B132" s="43" t="s">
        <v>97</v>
      </c>
      <c r="C132" s="43" t="s">
        <v>98</v>
      </c>
      <c r="D132" s="43" t="s">
        <v>488</v>
      </c>
      <c r="E132" s="43" t="s">
        <v>464</v>
      </c>
      <c r="F132" s="43" t="s">
        <v>489</v>
      </c>
      <c r="G132" s="43" t="s">
        <v>490</v>
      </c>
      <c r="H132" s="43"/>
      <c r="I132" s="44" t="s">
        <v>103</v>
      </c>
      <c r="J132" s="10"/>
      <c r="K132" s="10"/>
      <c r="L132" s="10"/>
      <c r="M132" s="47" t="str">
        <f t="shared" si="1"/>
        <v>not answered/error</v>
      </c>
      <c r="N132" s="43"/>
      <c r="O132" s="43"/>
      <c r="P132" s="43"/>
      <c r="Q132" s="10" t="s">
        <v>1081</v>
      </c>
      <c r="R132" s="10"/>
      <c r="S132" s="10"/>
      <c r="T132" s="10"/>
      <c r="U132" s="10"/>
      <c r="V132" s="10"/>
      <c r="W132" s="10"/>
      <c r="X132" s="10"/>
      <c r="Y132" s="10"/>
      <c r="Z132" s="10"/>
      <c r="AA132" s="10"/>
      <c r="AB132" s="10"/>
    </row>
    <row r="133" spans="1:28" ht="100.8" x14ac:dyDescent="0.3">
      <c r="A133" s="43" t="s">
        <v>96</v>
      </c>
      <c r="B133" s="43" t="s">
        <v>97</v>
      </c>
      <c r="C133" s="43" t="s">
        <v>98</v>
      </c>
      <c r="D133" s="43" t="s">
        <v>491</v>
      </c>
      <c r="E133" s="43" t="s">
        <v>464</v>
      </c>
      <c r="F133" s="43" t="s">
        <v>492</v>
      </c>
      <c r="G133" s="43" t="s">
        <v>493</v>
      </c>
      <c r="H133" s="43"/>
      <c r="I133" s="44" t="s">
        <v>103</v>
      </c>
      <c r="J133" s="10"/>
      <c r="K133" s="10"/>
      <c r="L133" s="10"/>
      <c r="M133" s="47" t="str">
        <f t="shared" si="1"/>
        <v>not answered/error</v>
      </c>
      <c r="N133" s="43"/>
      <c r="O133" s="43"/>
      <c r="P133" s="43"/>
      <c r="Q133" s="10" t="s">
        <v>1082</v>
      </c>
      <c r="R133" s="10"/>
      <c r="S133" s="10"/>
      <c r="T133" s="10"/>
      <c r="U133" s="10"/>
      <c r="V133" s="10"/>
      <c r="W133" s="10"/>
      <c r="X133" s="10"/>
      <c r="Y133" s="10"/>
      <c r="Z133" s="10"/>
      <c r="AA133" s="10"/>
      <c r="AB133" s="10"/>
    </row>
    <row r="134" spans="1:28" ht="144" x14ac:dyDescent="0.3">
      <c r="A134" s="43" t="s">
        <v>96</v>
      </c>
      <c r="B134" s="43" t="s">
        <v>97</v>
      </c>
      <c r="C134" s="43" t="s">
        <v>98</v>
      </c>
      <c r="D134" s="43" t="s">
        <v>494</v>
      </c>
      <c r="E134" s="43" t="s">
        <v>464</v>
      </c>
      <c r="F134" s="43" t="s">
        <v>495</v>
      </c>
      <c r="G134" s="43" t="s">
        <v>496</v>
      </c>
      <c r="H134" s="43"/>
      <c r="I134" s="44" t="s">
        <v>103</v>
      </c>
      <c r="J134" s="10"/>
      <c r="K134" s="10"/>
      <c r="L134" s="10"/>
      <c r="M134" s="47" t="str">
        <f t="shared" si="1"/>
        <v>not answered/error</v>
      </c>
      <c r="N134" s="43"/>
      <c r="O134" s="43"/>
      <c r="P134" s="43"/>
      <c r="Q134" s="10" t="s">
        <v>1083</v>
      </c>
      <c r="R134" s="10"/>
      <c r="S134" s="10"/>
      <c r="T134" s="10"/>
      <c r="U134" s="10"/>
      <c r="V134" s="10"/>
      <c r="W134" s="10"/>
      <c r="X134" s="10"/>
      <c r="Y134" s="10"/>
      <c r="Z134" s="10"/>
      <c r="AA134" s="10"/>
      <c r="AB134" s="10"/>
    </row>
    <row r="135" spans="1:28" ht="129.6" x14ac:dyDescent="0.3">
      <c r="A135" s="43" t="s">
        <v>96</v>
      </c>
      <c r="B135" s="43" t="s">
        <v>97</v>
      </c>
      <c r="C135" s="43" t="s">
        <v>98</v>
      </c>
      <c r="D135" s="43" t="s">
        <v>497</v>
      </c>
      <c r="E135" s="43" t="s">
        <v>464</v>
      </c>
      <c r="F135" s="43" t="s">
        <v>498</v>
      </c>
      <c r="G135" s="43" t="s">
        <v>499</v>
      </c>
      <c r="H135" s="43"/>
      <c r="I135" s="44" t="s">
        <v>103</v>
      </c>
      <c r="J135" s="9"/>
      <c r="K135" s="9"/>
      <c r="L135" s="9"/>
      <c r="M135" s="47" t="str">
        <f t="shared" si="1"/>
        <v>not answered/error</v>
      </c>
      <c r="N135" s="43"/>
      <c r="O135" s="43"/>
      <c r="P135" s="43"/>
      <c r="Q135" s="10" t="s">
        <v>1084</v>
      </c>
      <c r="R135" s="10"/>
      <c r="S135" s="10"/>
      <c r="T135" s="10"/>
      <c r="U135" s="10"/>
      <c r="V135" s="10"/>
      <c r="W135" s="10"/>
      <c r="X135" s="10"/>
      <c r="Y135" s="10"/>
      <c r="Z135" s="10"/>
      <c r="AA135" s="10"/>
      <c r="AB135" s="10"/>
    </row>
    <row r="136" spans="1:28" ht="100.8" x14ac:dyDescent="0.3">
      <c r="A136" s="43" t="s">
        <v>96</v>
      </c>
      <c r="B136" s="43" t="s">
        <v>97</v>
      </c>
      <c r="C136" s="43" t="s">
        <v>98</v>
      </c>
      <c r="D136" s="43" t="s">
        <v>500</v>
      </c>
      <c r="E136" s="43" t="s">
        <v>464</v>
      </c>
      <c r="F136" s="43" t="s">
        <v>501</v>
      </c>
      <c r="G136" s="43" t="s">
        <v>502</v>
      </c>
      <c r="H136" s="43"/>
      <c r="I136" s="44" t="s">
        <v>103</v>
      </c>
      <c r="J136" s="9"/>
      <c r="K136" s="9"/>
      <c r="L136" s="9"/>
      <c r="M136" s="47" t="str">
        <f t="shared" si="1"/>
        <v>not answered/error</v>
      </c>
      <c r="N136" s="43"/>
      <c r="O136" s="43"/>
      <c r="P136" s="43"/>
      <c r="Q136" s="10" t="s">
        <v>1085</v>
      </c>
      <c r="R136" s="10"/>
      <c r="S136" s="10"/>
      <c r="T136" s="10"/>
      <c r="U136" s="10"/>
      <c r="V136" s="10"/>
      <c r="W136" s="10"/>
      <c r="X136" s="10"/>
      <c r="Y136" s="10"/>
      <c r="Z136" s="10"/>
      <c r="AA136" s="10"/>
      <c r="AB136" s="10"/>
    </row>
    <row r="137" spans="1:28" ht="345.6" x14ac:dyDescent="0.3">
      <c r="A137" s="43" t="s">
        <v>96</v>
      </c>
      <c r="B137" s="43" t="s">
        <v>97</v>
      </c>
      <c r="C137" s="43" t="s">
        <v>98</v>
      </c>
      <c r="D137" s="43" t="s">
        <v>503</v>
      </c>
      <c r="E137" s="43" t="s">
        <v>464</v>
      </c>
      <c r="F137" s="43" t="s">
        <v>504</v>
      </c>
      <c r="G137" s="43" t="s">
        <v>505</v>
      </c>
      <c r="H137" s="43"/>
      <c r="I137" s="44" t="s">
        <v>103</v>
      </c>
      <c r="J137" s="9"/>
      <c r="K137" s="9"/>
      <c r="L137" s="9"/>
      <c r="M137" s="47" t="str">
        <f t="shared" si="1"/>
        <v>not answered/error</v>
      </c>
      <c r="N137" s="43"/>
      <c r="O137" s="43"/>
      <c r="P137" s="43"/>
      <c r="Q137" s="10" t="s">
        <v>1086</v>
      </c>
      <c r="R137" s="10"/>
      <c r="S137" s="10"/>
      <c r="T137" s="10"/>
      <c r="U137" s="10"/>
      <c r="V137" s="10"/>
      <c r="W137" s="10"/>
      <c r="X137" s="10"/>
      <c r="Y137" s="10"/>
      <c r="Z137" s="10"/>
      <c r="AA137" s="10"/>
      <c r="AB137" s="10"/>
    </row>
    <row r="138" spans="1:28" ht="230.4" x14ac:dyDescent="0.3">
      <c r="A138" s="43" t="s">
        <v>96</v>
      </c>
      <c r="B138" s="43" t="s">
        <v>97</v>
      </c>
      <c r="C138" s="43" t="s">
        <v>98</v>
      </c>
      <c r="D138" s="43" t="s">
        <v>506</v>
      </c>
      <c r="E138" s="43" t="s">
        <v>464</v>
      </c>
      <c r="F138" s="43" t="s">
        <v>507</v>
      </c>
      <c r="G138" s="43" t="s">
        <v>508</v>
      </c>
      <c r="H138" s="43"/>
      <c r="I138" s="44" t="s">
        <v>103</v>
      </c>
      <c r="J138" s="9"/>
      <c r="K138" s="9"/>
      <c r="L138" s="9"/>
      <c r="M138" s="47" t="str">
        <f t="shared" ref="M138:M201" si="2">IF(AND(J138&lt;&gt;"",ISBLANK(K138),ISBLANK(L138)),"Yes",IF(AND(K138&lt;&gt;"",ISBLANK(J138),ISBLANK(L138)),"No",IF(AND(L138&lt;&gt;"",ISBLANK(J138),ISBLANK(K138)),"N/A","not answered/error")))</f>
        <v>not answered/error</v>
      </c>
      <c r="N138" s="43"/>
      <c r="O138" s="43"/>
      <c r="P138" s="43"/>
      <c r="Q138" s="10" t="s">
        <v>1087</v>
      </c>
      <c r="R138" s="10"/>
      <c r="S138" s="10"/>
      <c r="T138" s="10"/>
      <c r="U138" s="10"/>
      <c r="V138" s="10"/>
      <c r="W138" s="10"/>
      <c r="X138" s="10"/>
      <c r="Y138" s="10"/>
      <c r="Z138" s="10"/>
      <c r="AA138" s="10"/>
      <c r="AB138" s="10"/>
    </row>
    <row r="139" spans="1:28" ht="72" x14ac:dyDescent="0.3">
      <c r="A139" s="43" t="s">
        <v>96</v>
      </c>
      <c r="B139" s="43" t="s">
        <v>97</v>
      </c>
      <c r="C139" s="43" t="s">
        <v>98</v>
      </c>
      <c r="D139" s="43" t="s">
        <v>509</v>
      </c>
      <c r="E139" s="43" t="s">
        <v>464</v>
      </c>
      <c r="F139" s="43" t="s">
        <v>510</v>
      </c>
      <c r="G139" s="43" t="s">
        <v>511</v>
      </c>
      <c r="H139" s="43"/>
      <c r="I139" s="44" t="s">
        <v>103</v>
      </c>
      <c r="J139" s="10"/>
      <c r="K139" s="10"/>
      <c r="L139" s="10"/>
      <c r="M139" s="47" t="str">
        <f t="shared" si="2"/>
        <v>not answered/error</v>
      </c>
      <c r="N139" s="43"/>
      <c r="O139" s="43"/>
      <c r="P139" s="43"/>
      <c r="Q139" s="10" t="s">
        <v>1088</v>
      </c>
      <c r="R139" s="10"/>
      <c r="S139" s="10"/>
      <c r="T139" s="10"/>
      <c r="U139" s="10"/>
      <c r="V139" s="10"/>
      <c r="W139" s="10"/>
      <c r="X139" s="10"/>
      <c r="Y139" s="10"/>
      <c r="Z139" s="10"/>
      <c r="AA139" s="10"/>
      <c r="AB139" s="10"/>
    </row>
    <row r="140" spans="1:28" ht="86.4" x14ac:dyDescent="0.3">
      <c r="A140" s="43" t="s">
        <v>96</v>
      </c>
      <c r="B140" s="43" t="s">
        <v>97</v>
      </c>
      <c r="C140" s="43" t="s">
        <v>98</v>
      </c>
      <c r="D140" s="43" t="s">
        <v>512</v>
      </c>
      <c r="E140" s="43" t="s">
        <v>464</v>
      </c>
      <c r="F140" s="43" t="s">
        <v>513</v>
      </c>
      <c r="G140" s="43" t="s">
        <v>514</v>
      </c>
      <c r="H140" s="43"/>
      <c r="I140" s="45" t="s">
        <v>203</v>
      </c>
      <c r="J140" s="10"/>
      <c r="K140" s="10"/>
      <c r="L140" s="10"/>
      <c r="M140" s="47" t="str">
        <f t="shared" si="2"/>
        <v>not answered/error</v>
      </c>
      <c r="N140" s="43"/>
      <c r="O140" s="43"/>
      <c r="P140" s="43"/>
      <c r="Q140" s="10" t="s">
        <v>1089</v>
      </c>
      <c r="R140" s="10"/>
      <c r="S140" s="10"/>
      <c r="T140" s="10"/>
      <c r="U140" s="10"/>
      <c r="V140" s="10"/>
      <c r="W140" s="10"/>
      <c r="X140" s="10"/>
      <c r="Y140" s="10"/>
      <c r="Z140" s="10"/>
      <c r="AA140" s="10"/>
      <c r="AB140" s="10"/>
    </row>
    <row r="141" spans="1:28" ht="158.4" x14ac:dyDescent="0.3">
      <c r="A141" s="43" t="s">
        <v>96</v>
      </c>
      <c r="B141" s="43" t="s">
        <v>97</v>
      </c>
      <c r="C141" s="43" t="s">
        <v>98</v>
      </c>
      <c r="D141" s="43" t="s">
        <v>515</v>
      </c>
      <c r="E141" s="43" t="s">
        <v>464</v>
      </c>
      <c r="F141" s="43" t="s">
        <v>516</v>
      </c>
      <c r="G141" s="43" t="s">
        <v>517</v>
      </c>
      <c r="H141" s="43"/>
      <c r="I141" s="44" t="s">
        <v>103</v>
      </c>
      <c r="J141" s="10"/>
      <c r="K141" s="10"/>
      <c r="L141" s="10"/>
      <c r="M141" s="47" t="str">
        <f t="shared" si="2"/>
        <v>not answered/error</v>
      </c>
      <c r="N141" s="43"/>
      <c r="O141" s="43"/>
      <c r="P141" s="43"/>
      <c r="Q141" s="10" t="s">
        <v>1090</v>
      </c>
      <c r="R141" s="10"/>
      <c r="S141" s="10"/>
      <c r="T141" s="10"/>
      <c r="U141" s="10"/>
      <c r="V141" s="10"/>
      <c r="W141" s="10"/>
      <c r="X141" s="10"/>
      <c r="Y141" s="10"/>
      <c r="Z141" s="10"/>
      <c r="AA141" s="10"/>
      <c r="AB141" s="10"/>
    </row>
    <row r="142" spans="1:28" ht="201.6" x14ac:dyDescent="0.3">
      <c r="A142" s="43" t="s">
        <v>96</v>
      </c>
      <c r="B142" s="43" t="s">
        <v>97</v>
      </c>
      <c r="C142" s="43" t="s">
        <v>98</v>
      </c>
      <c r="D142" s="43" t="s">
        <v>518</v>
      </c>
      <c r="E142" s="43" t="s">
        <v>464</v>
      </c>
      <c r="F142" s="43" t="s">
        <v>519</v>
      </c>
      <c r="G142" s="43" t="s">
        <v>520</v>
      </c>
      <c r="H142" s="43"/>
      <c r="I142" s="44" t="s">
        <v>103</v>
      </c>
      <c r="J142" s="10"/>
      <c r="K142" s="10"/>
      <c r="L142" s="10"/>
      <c r="M142" s="47" t="str">
        <f t="shared" si="2"/>
        <v>not answered/error</v>
      </c>
      <c r="N142" s="43"/>
      <c r="O142" s="43"/>
      <c r="P142" s="43"/>
      <c r="Q142" s="10" t="s">
        <v>1091</v>
      </c>
      <c r="R142" s="10"/>
      <c r="S142" s="10"/>
      <c r="T142" s="10"/>
      <c r="U142" s="10"/>
      <c r="V142" s="10"/>
      <c r="W142" s="10"/>
      <c r="X142" s="10"/>
      <c r="Y142" s="10"/>
      <c r="Z142" s="10"/>
      <c r="AA142" s="10"/>
      <c r="AB142" s="10"/>
    </row>
    <row r="143" spans="1:28" ht="345.6" x14ac:dyDescent="0.3">
      <c r="A143" s="43" t="s">
        <v>96</v>
      </c>
      <c r="B143" s="43" t="s">
        <v>97</v>
      </c>
      <c r="C143" s="43" t="s">
        <v>98</v>
      </c>
      <c r="D143" s="43" t="s">
        <v>521</v>
      </c>
      <c r="E143" s="43" t="s">
        <v>464</v>
      </c>
      <c r="F143" s="43" t="s">
        <v>522</v>
      </c>
      <c r="G143" s="43" t="s">
        <v>523</v>
      </c>
      <c r="H143" s="43"/>
      <c r="I143" s="44" t="s">
        <v>103</v>
      </c>
      <c r="J143" s="10"/>
      <c r="K143" s="10"/>
      <c r="L143" s="10"/>
      <c r="M143" s="47" t="str">
        <f t="shared" si="2"/>
        <v>not answered/error</v>
      </c>
      <c r="N143" s="43"/>
      <c r="O143" s="43"/>
      <c r="P143" s="43"/>
      <c r="Q143" s="10" t="s">
        <v>1092</v>
      </c>
      <c r="R143" s="10"/>
      <c r="S143" s="10"/>
      <c r="T143" s="10"/>
      <c r="U143" s="10"/>
      <c r="V143" s="10"/>
      <c r="W143" s="10"/>
      <c r="X143" s="10"/>
      <c r="Y143" s="10"/>
      <c r="Z143" s="10"/>
      <c r="AA143" s="10"/>
      <c r="AB143" s="10"/>
    </row>
    <row r="144" spans="1:28" ht="129.6" x14ac:dyDescent="0.3">
      <c r="A144" s="43" t="s">
        <v>96</v>
      </c>
      <c r="B144" s="43" t="s">
        <v>97</v>
      </c>
      <c r="C144" s="43" t="s">
        <v>98</v>
      </c>
      <c r="D144" s="43" t="s">
        <v>524</v>
      </c>
      <c r="E144" s="43" t="s">
        <v>464</v>
      </c>
      <c r="F144" s="43" t="s">
        <v>525</v>
      </c>
      <c r="G144" s="43" t="s">
        <v>526</v>
      </c>
      <c r="H144" s="43"/>
      <c r="I144" s="45" t="s">
        <v>203</v>
      </c>
      <c r="J144" s="10"/>
      <c r="K144" s="10"/>
      <c r="L144" s="10"/>
      <c r="M144" s="47" t="str">
        <f t="shared" si="2"/>
        <v>not answered/error</v>
      </c>
      <c r="N144" s="43"/>
      <c r="O144" s="43"/>
      <c r="P144" s="43"/>
      <c r="Q144" s="10" t="s">
        <v>1093</v>
      </c>
      <c r="R144" s="10"/>
      <c r="S144" s="10"/>
      <c r="T144" s="10"/>
      <c r="U144" s="10"/>
      <c r="V144" s="10"/>
      <c r="W144" s="10"/>
      <c r="X144" s="10"/>
      <c r="Y144" s="10"/>
      <c r="Z144" s="10"/>
      <c r="AA144" s="10"/>
      <c r="AB144" s="10"/>
    </row>
    <row r="145" spans="1:28" ht="158.4" x14ac:dyDescent="0.3">
      <c r="A145" s="43" t="s">
        <v>96</v>
      </c>
      <c r="B145" s="43" t="s">
        <v>97</v>
      </c>
      <c r="C145" s="43" t="s">
        <v>98</v>
      </c>
      <c r="D145" s="43" t="s">
        <v>527</v>
      </c>
      <c r="E145" s="43" t="s">
        <v>464</v>
      </c>
      <c r="F145" s="43" t="s">
        <v>528</v>
      </c>
      <c r="G145" s="43" t="s">
        <v>529</v>
      </c>
      <c r="H145" s="43"/>
      <c r="I145" s="44" t="s">
        <v>103</v>
      </c>
      <c r="J145" s="9"/>
      <c r="K145" s="9"/>
      <c r="L145" s="9"/>
      <c r="M145" s="47" t="str">
        <f t="shared" si="2"/>
        <v>not answered/error</v>
      </c>
      <c r="N145" s="43"/>
      <c r="O145" s="43"/>
      <c r="P145" s="43"/>
      <c r="Q145" s="10" t="s">
        <v>1094</v>
      </c>
      <c r="R145" s="10"/>
      <c r="S145" s="10"/>
      <c r="T145" s="10"/>
      <c r="U145" s="10"/>
      <c r="V145" s="10"/>
      <c r="W145" s="10"/>
      <c r="X145" s="10"/>
      <c r="Y145" s="10"/>
      <c r="Z145" s="10"/>
      <c r="AA145" s="10"/>
      <c r="AB145" s="10"/>
    </row>
    <row r="146" spans="1:28" ht="72" x14ac:dyDescent="0.3">
      <c r="A146" s="43" t="s">
        <v>96</v>
      </c>
      <c r="B146" s="43" t="s">
        <v>97</v>
      </c>
      <c r="C146" s="43" t="s">
        <v>98</v>
      </c>
      <c r="D146" s="43" t="s">
        <v>530</v>
      </c>
      <c r="E146" s="43" t="s">
        <v>464</v>
      </c>
      <c r="F146" s="43" t="s">
        <v>531</v>
      </c>
      <c r="G146" s="43" t="s">
        <v>532</v>
      </c>
      <c r="H146" s="43"/>
      <c r="I146" s="44" t="s">
        <v>103</v>
      </c>
      <c r="J146" s="10"/>
      <c r="K146" s="10"/>
      <c r="L146" s="10"/>
      <c r="M146" s="47" t="str">
        <f t="shared" si="2"/>
        <v>not answered/error</v>
      </c>
      <c r="N146" s="43"/>
      <c r="O146" s="43"/>
      <c r="P146" s="43"/>
      <c r="Q146" s="10" t="s">
        <v>1095</v>
      </c>
      <c r="R146" s="10"/>
      <c r="S146" s="10"/>
      <c r="T146" s="10"/>
      <c r="U146" s="10"/>
      <c r="V146" s="10"/>
      <c r="W146" s="10"/>
      <c r="X146" s="10"/>
      <c r="Y146" s="10"/>
      <c r="Z146" s="10"/>
      <c r="AA146" s="10"/>
      <c r="AB146" s="10"/>
    </row>
    <row r="147" spans="1:28" ht="273.60000000000002" x14ac:dyDescent="0.3">
      <c r="A147" s="43" t="s">
        <v>96</v>
      </c>
      <c r="B147" s="43" t="s">
        <v>97</v>
      </c>
      <c r="C147" s="43" t="s">
        <v>98</v>
      </c>
      <c r="D147" s="43" t="s">
        <v>533</v>
      </c>
      <c r="E147" s="43" t="s">
        <v>464</v>
      </c>
      <c r="F147" s="43" t="s">
        <v>534</v>
      </c>
      <c r="G147" s="43" t="s">
        <v>535</v>
      </c>
      <c r="H147" s="43"/>
      <c r="I147" s="44" t="s">
        <v>103</v>
      </c>
      <c r="J147" s="9"/>
      <c r="K147" s="9"/>
      <c r="L147" s="9"/>
      <c r="M147" s="47" t="str">
        <f t="shared" si="2"/>
        <v>not answered/error</v>
      </c>
      <c r="N147" s="43"/>
      <c r="O147" s="43"/>
      <c r="P147" s="43"/>
      <c r="Q147" s="10" t="s">
        <v>1096</v>
      </c>
      <c r="R147" s="10"/>
      <c r="S147" s="10"/>
      <c r="T147" s="10"/>
      <c r="U147" s="10"/>
      <c r="V147" s="10"/>
      <c r="W147" s="10"/>
      <c r="X147" s="10"/>
      <c r="Y147" s="10"/>
      <c r="Z147" s="10"/>
      <c r="AA147" s="10"/>
      <c r="AB147" s="10"/>
    </row>
    <row r="148" spans="1:28" ht="72" x14ac:dyDescent="0.3">
      <c r="A148" s="43" t="s">
        <v>96</v>
      </c>
      <c r="B148" s="43" t="s">
        <v>97</v>
      </c>
      <c r="C148" s="43" t="s">
        <v>98</v>
      </c>
      <c r="D148" s="43" t="s">
        <v>536</v>
      </c>
      <c r="E148" s="43" t="s">
        <v>464</v>
      </c>
      <c r="F148" s="43" t="s">
        <v>537</v>
      </c>
      <c r="G148" s="43" t="s">
        <v>538</v>
      </c>
      <c r="H148" s="43"/>
      <c r="I148" s="44" t="s">
        <v>103</v>
      </c>
      <c r="J148" s="9"/>
      <c r="K148" s="9"/>
      <c r="L148" s="9"/>
      <c r="M148" s="47" t="str">
        <f t="shared" si="2"/>
        <v>not answered/error</v>
      </c>
      <c r="N148" s="43"/>
      <c r="O148" s="43"/>
      <c r="P148" s="43"/>
      <c r="Q148" s="10" t="s">
        <v>1097</v>
      </c>
      <c r="R148" s="10"/>
      <c r="S148" s="10"/>
      <c r="T148" s="10"/>
      <c r="U148" s="10"/>
      <c r="V148" s="10"/>
      <c r="W148" s="10"/>
      <c r="X148" s="10"/>
      <c r="Y148" s="10"/>
      <c r="Z148" s="10"/>
      <c r="AA148" s="10"/>
      <c r="AB148" s="10"/>
    </row>
    <row r="149" spans="1:28" ht="172.8" x14ac:dyDescent="0.3">
      <c r="A149" s="43" t="s">
        <v>96</v>
      </c>
      <c r="B149" s="43" t="s">
        <v>97</v>
      </c>
      <c r="C149" s="43" t="s">
        <v>98</v>
      </c>
      <c r="D149" s="43" t="s">
        <v>539</v>
      </c>
      <c r="E149" s="43" t="s">
        <v>464</v>
      </c>
      <c r="F149" s="43" t="s">
        <v>540</v>
      </c>
      <c r="G149" s="43" t="s">
        <v>541</v>
      </c>
      <c r="H149" s="43"/>
      <c r="I149" s="44" t="s">
        <v>103</v>
      </c>
      <c r="J149" s="10"/>
      <c r="K149" s="10"/>
      <c r="L149" s="10"/>
      <c r="M149" s="47" t="str">
        <f t="shared" si="2"/>
        <v>not answered/error</v>
      </c>
      <c r="N149" s="43"/>
      <c r="O149" s="43"/>
      <c r="P149" s="43"/>
      <c r="Q149" s="10" t="s">
        <v>1098</v>
      </c>
      <c r="R149" s="10"/>
      <c r="S149" s="10"/>
      <c r="T149" s="10"/>
      <c r="U149" s="10"/>
      <c r="V149" s="10"/>
      <c r="W149" s="10"/>
      <c r="X149" s="10"/>
      <c r="Y149" s="10"/>
      <c r="Z149" s="10"/>
      <c r="AA149" s="10"/>
      <c r="AB149" s="10"/>
    </row>
    <row r="150" spans="1:28" ht="230.4" x14ac:dyDescent="0.3">
      <c r="A150" s="43" t="s">
        <v>96</v>
      </c>
      <c r="B150" s="43" t="s">
        <v>97</v>
      </c>
      <c r="C150" s="43" t="s">
        <v>98</v>
      </c>
      <c r="D150" s="43" t="s">
        <v>542</v>
      </c>
      <c r="E150" s="43" t="s">
        <v>464</v>
      </c>
      <c r="F150" s="43" t="s">
        <v>543</v>
      </c>
      <c r="G150" s="43" t="s">
        <v>544</v>
      </c>
      <c r="H150" s="43"/>
      <c r="I150" s="45" t="s">
        <v>203</v>
      </c>
      <c r="J150" s="10"/>
      <c r="K150" s="10"/>
      <c r="L150" s="10"/>
      <c r="M150" s="47" t="str">
        <f t="shared" si="2"/>
        <v>not answered/error</v>
      </c>
      <c r="N150" s="43"/>
      <c r="O150" s="43"/>
      <c r="P150" s="43"/>
      <c r="Q150" s="10" t="s">
        <v>1099</v>
      </c>
      <c r="R150" s="10"/>
      <c r="S150" s="10"/>
      <c r="T150" s="10"/>
      <c r="U150" s="10"/>
      <c r="V150" s="10"/>
      <c r="W150" s="10"/>
      <c r="X150" s="10"/>
      <c r="Y150" s="10"/>
      <c r="Z150" s="10"/>
      <c r="AA150" s="10"/>
      <c r="AB150" s="10"/>
    </row>
    <row r="151" spans="1:28" ht="86.4" x14ac:dyDescent="0.3">
      <c r="A151" s="43" t="s">
        <v>96</v>
      </c>
      <c r="B151" s="43" t="s">
        <v>97</v>
      </c>
      <c r="C151" s="43" t="s">
        <v>98</v>
      </c>
      <c r="D151" s="43" t="s">
        <v>545</v>
      </c>
      <c r="E151" s="43" t="s">
        <v>464</v>
      </c>
      <c r="F151" s="43" t="s">
        <v>546</v>
      </c>
      <c r="G151" s="43" t="s">
        <v>547</v>
      </c>
      <c r="H151" s="43"/>
      <c r="I151" s="44" t="s">
        <v>103</v>
      </c>
      <c r="J151" s="10"/>
      <c r="K151" s="10"/>
      <c r="L151" s="10"/>
      <c r="M151" s="47" t="str">
        <f t="shared" si="2"/>
        <v>not answered/error</v>
      </c>
      <c r="N151" s="43"/>
      <c r="O151" s="43"/>
      <c r="P151" s="43"/>
      <c r="Q151" s="10" t="s">
        <v>1100</v>
      </c>
      <c r="R151" s="10"/>
      <c r="S151" s="10"/>
      <c r="T151" s="10"/>
      <c r="U151" s="10"/>
      <c r="V151" s="10"/>
      <c r="W151" s="10"/>
      <c r="X151" s="10"/>
      <c r="Y151" s="10"/>
      <c r="Z151" s="10"/>
      <c r="AA151" s="10"/>
      <c r="AB151" s="10"/>
    </row>
    <row r="152" spans="1:28" ht="187.2" x14ac:dyDescent="0.3">
      <c r="A152" s="43" t="s">
        <v>96</v>
      </c>
      <c r="B152" s="43" t="s">
        <v>97</v>
      </c>
      <c r="C152" s="43" t="s">
        <v>98</v>
      </c>
      <c r="D152" s="43" t="s">
        <v>548</v>
      </c>
      <c r="E152" s="43" t="s">
        <v>464</v>
      </c>
      <c r="F152" s="43" t="s">
        <v>549</v>
      </c>
      <c r="G152" s="43" t="s">
        <v>550</v>
      </c>
      <c r="H152" s="43"/>
      <c r="I152" s="44" t="s">
        <v>103</v>
      </c>
      <c r="J152" s="10"/>
      <c r="K152" s="10"/>
      <c r="L152" s="10"/>
      <c r="M152" s="47" t="str">
        <f t="shared" si="2"/>
        <v>not answered/error</v>
      </c>
      <c r="N152" s="43"/>
      <c r="O152" s="43"/>
      <c r="P152" s="43"/>
      <c r="Q152" s="10" t="s">
        <v>1101</v>
      </c>
      <c r="R152" s="10"/>
      <c r="S152" s="10"/>
      <c r="T152" s="10"/>
      <c r="U152" s="10"/>
      <c r="V152" s="10"/>
      <c r="W152" s="10"/>
      <c r="X152" s="10"/>
      <c r="Y152" s="10"/>
      <c r="Z152" s="10"/>
      <c r="AA152" s="10"/>
      <c r="AB152" s="10"/>
    </row>
    <row r="153" spans="1:28" ht="201.6" x14ac:dyDescent="0.3">
      <c r="A153" s="43" t="s">
        <v>96</v>
      </c>
      <c r="B153" s="43" t="s">
        <v>97</v>
      </c>
      <c r="C153" s="43" t="s">
        <v>98</v>
      </c>
      <c r="D153" s="43" t="s">
        <v>551</v>
      </c>
      <c r="E153" s="43" t="s">
        <v>464</v>
      </c>
      <c r="F153" s="43" t="s">
        <v>552</v>
      </c>
      <c r="G153" s="43" t="s">
        <v>553</v>
      </c>
      <c r="H153" s="43"/>
      <c r="I153" s="44" t="s">
        <v>103</v>
      </c>
      <c r="J153" s="10"/>
      <c r="K153" s="10"/>
      <c r="L153" s="10"/>
      <c r="M153" s="47" t="str">
        <f t="shared" si="2"/>
        <v>not answered/error</v>
      </c>
      <c r="N153" s="43"/>
      <c r="O153" s="43"/>
      <c r="P153" s="43"/>
      <c r="Q153" s="10" t="s">
        <v>1102</v>
      </c>
      <c r="R153" s="10"/>
      <c r="S153" s="10"/>
      <c r="T153" s="10"/>
      <c r="U153" s="10"/>
      <c r="V153" s="10"/>
      <c r="W153" s="10"/>
      <c r="X153" s="10"/>
      <c r="Y153" s="10"/>
      <c r="Z153" s="10"/>
      <c r="AA153" s="10"/>
      <c r="AB153" s="10"/>
    </row>
    <row r="154" spans="1:28" ht="86.4" x14ac:dyDescent="0.3">
      <c r="A154" s="43" t="s">
        <v>96</v>
      </c>
      <c r="B154" s="43" t="s">
        <v>97</v>
      </c>
      <c r="C154" s="43" t="s">
        <v>98</v>
      </c>
      <c r="D154" s="43" t="s">
        <v>554</v>
      </c>
      <c r="E154" s="43" t="s">
        <v>464</v>
      </c>
      <c r="F154" s="43" t="s">
        <v>555</v>
      </c>
      <c r="G154" s="43" t="s">
        <v>556</v>
      </c>
      <c r="H154" s="43"/>
      <c r="I154" s="44" t="s">
        <v>103</v>
      </c>
      <c r="J154" s="10"/>
      <c r="K154" s="10"/>
      <c r="L154" s="10"/>
      <c r="M154" s="47" t="str">
        <f t="shared" si="2"/>
        <v>not answered/error</v>
      </c>
      <c r="N154" s="43"/>
      <c r="O154" s="43"/>
      <c r="P154" s="43"/>
      <c r="Q154" s="10" t="s">
        <v>1103</v>
      </c>
      <c r="R154" s="10"/>
      <c r="S154" s="10"/>
      <c r="T154" s="10"/>
      <c r="U154" s="10"/>
      <c r="V154" s="10"/>
      <c r="W154" s="10"/>
      <c r="X154" s="10"/>
      <c r="Y154" s="10"/>
      <c r="Z154" s="10"/>
      <c r="AA154" s="10"/>
      <c r="AB154" s="10"/>
    </row>
    <row r="155" spans="1:28" ht="100.8" x14ac:dyDescent="0.3">
      <c r="A155" s="43" t="s">
        <v>96</v>
      </c>
      <c r="B155" s="43" t="s">
        <v>97</v>
      </c>
      <c r="C155" s="43" t="s">
        <v>98</v>
      </c>
      <c r="D155" s="43" t="s">
        <v>557</v>
      </c>
      <c r="E155" s="43" t="s">
        <v>464</v>
      </c>
      <c r="F155" s="43" t="s">
        <v>558</v>
      </c>
      <c r="G155" s="43" t="s">
        <v>559</v>
      </c>
      <c r="H155" s="43"/>
      <c r="I155" s="44" t="s">
        <v>103</v>
      </c>
      <c r="J155" s="10"/>
      <c r="K155" s="10"/>
      <c r="L155" s="10"/>
      <c r="M155" s="47" t="str">
        <f t="shared" si="2"/>
        <v>not answered/error</v>
      </c>
      <c r="N155" s="43"/>
      <c r="O155" s="43"/>
      <c r="P155" s="43"/>
      <c r="Q155" s="10" t="s">
        <v>1100</v>
      </c>
      <c r="R155" s="10"/>
      <c r="S155" s="10"/>
      <c r="T155" s="10"/>
      <c r="U155" s="10"/>
      <c r="V155" s="10"/>
      <c r="W155" s="10"/>
      <c r="X155" s="10"/>
      <c r="Y155" s="10"/>
      <c r="Z155" s="10"/>
      <c r="AA155" s="10"/>
      <c r="AB155" s="10"/>
    </row>
    <row r="156" spans="1:28" ht="216" x14ac:dyDescent="0.3">
      <c r="A156" s="43" t="s">
        <v>96</v>
      </c>
      <c r="B156" s="43" t="s">
        <v>97</v>
      </c>
      <c r="C156" s="43" t="s">
        <v>98</v>
      </c>
      <c r="D156" s="43" t="s">
        <v>560</v>
      </c>
      <c r="E156" s="43" t="s">
        <v>464</v>
      </c>
      <c r="F156" s="43" t="s">
        <v>561</v>
      </c>
      <c r="G156" s="43" t="s">
        <v>562</v>
      </c>
      <c r="H156" s="43"/>
      <c r="I156" s="44" t="s">
        <v>103</v>
      </c>
      <c r="J156" s="10"/>
      <c r="K156" s="10"/>
      <c r="L156" s="10"/>
      <c r="M156" s="47" t="str">
        <f t="shared" si="2"/>
        <v>not answered/error</v>
      </c>
      <c r="N156" s="43"/>
      <c r="O156" s="43"/>
      <c r="P156" s="43"/>
      <c r="Q156" s="10" t="s">
        <v>1104</v>
      </c>
      <c r="R156" s="10"/>
      <c r="S156" s="10"/>
      <c r="T156" s="10"/>
      <c r="U156" s="10"/>
      <c r="V156" s="10"/>
      <c r="W156" s="10"/>
      <c r="X156" s="10"/>
      <c r="Y156" s="10"/>
      <c r="Z156" s="10"/>
      <c r="AA156" s="10"/>
      <c r="AB156" s="10"/>
    </row>
    <row r="157" spans="1:28" ht="144" x14ac:dyDescent="0.3">
      <c r="A157" s="43" t="s">
        <v>96</v>
      </c>
      <c r="B157" s="43" t="s">
        <v>97</v>
      </c>
      <c r="C157" s="43" t="s">
        <v>98</v>
      </c>
      <c r="D157" s="43" t="s">
        <v>563</v>
      </c>
      <c r="E157" s="43" t="s">
        <v>464</v>
      </c>
      <c r="F157" s="43" t="s">
        <v>564</v>
      </c>
      <c r="G157" s="43" t="s">
        <v>565</v>
      </c>
      <c r="H157" s="43"/>
      <c r="I157" s="44" t="s">
        <v>103</v>
      </c>
      <c r="J157" s="10"/>
      <c r="K157" s="10"/>
      <c r="L157" s="10"/>
      <c r="M157" s="47" t="str">
        <f t="shared" si="2"/>
        <v>not answered/error</v>
      </c>
      <c r="N157" s="43"/>
      <c r="O157" s="43"/>
      <c r="P157" s="43"/>
      <c r="Q157" s="10" t="s">
        <v>1105</v>
      </c>
      <c r="R157" s="10"/>
      <c r="S157" s="10"/>
      <c r="T157" s="10"/>
      <c r="U157" s="10"/>
      <c r="V157" s="10"/>
      <c r="W157" s="10"/>
      <c r="X157" s="10"/>
      <c r="Y157" s="10"/>
      <c r="Z157" s="10"/>
      <c r="AA157" s="10"/>
      <c r="AB157" s="10"/>
    </row>
    <row r="158" spans="1:28" ht="288" x14ac:dyDescent="0.3">
      <c r="A158" s="43" t="s">
        <v>96</v>
      </c>
      <c r="B158" s="43" t="s">
        <v>97</v>
      </c>
      <c r="C158" s="43" t="s">
        <v>98</v>
      </c>
      <c r="D158" s="43" t="s">
        <v>566</v>
      </c>
      <c r="E158" s="43" t="s">
        <v>464</v>
      </c>
      <c r="F158" s="43" t="s">
        <v>567</v>
      </c>
      <c r="G158" s="43" t="s">
        <v>568</v>
      </c>
      <c r="H158" s="43"/>
      <c r="I158" s="44" t="s">
        <v>103</v>
      </c>
      <c r="J158" s="10"/>
      <c r="K158" s="10"/>
      <c r="L158" s="10"/>
      <c r="M158" s="47" t="str">
        <f t="shared" si="2"/>
        <v>not answered/error</v>
      </c>
      <c r="N158" s="43"/>
      <c r="O158" s="43"/>
      <c r="P158" s="43"/>
      <c r="Q158" s="10" t="s">
        <v>1106</v>
      </c>
      <c r="R158" s="10"/>
      <c r="S158" s="10"/>
      <c r="T158" s="10"/>
      <c r="U158" s="10"/>
      <c r="V158" s="10"/>
      <c r="W158" s="10"/>
      <c r="X158" s="10"/>
      <c r="Y158" s="10"/>
      <c r="Z158" s="10"/>
      <c r="AA158" s="10"/>
      <c r="AB158" s="10"/>
    </row>
    <row r="159" spans="1:28" ht="72" x14ac:dyDescent="0.3">
      <c r="A159" s="43" t="s">
        <v>96</v>
      </c>
      <c r="B159" s="43" t="s">
        <v>97</v>
      </c>
      <c r="C159" s="43" t="s">
        <v>98</v>
      </c>
      <c r="D159" s="43" t="s">
        <v>569</v>
      </c>
      <c r="E159" s="43" t="s">
        <v>464</v>
      </c>
      <c r="F159" s="43" t="s">
        <v>570</v>
      </c>
      <c r="G159" s="43" t="s">
        <v>571</v>
      </c>
      <c r="H159" s="43"/>
      <c r="I159" s="44" t="s">
        <v>103</v>
      </c>
      <c r="J159" s="10"/>
      <c r="K159" s="10"/>
      <c r="L159" s="10"/>
      <c r="M159" s="47" t="str">
        <f t="shared" si="2"/>
        <v>not answered/error</v>
      </c>
      <c r="N159" s="43"/>
      <c r="O159" s="43"/>
      <c r="P159" s="43"/>
      <c r="Q159" s="10" t="s">
        <v>1107</v>
      </c>
      <c r="R159" s="10"/>
      <c r="S159" s="10"/>
      <c r="T159" s="10"/>
      <c r="U159" s="10"/>
      <c r="V159" s="10"/>
      <c r="W159" s="10"/>
      <c r="X159" s="10"/>
      <c r="Y159" s="10"/>
      <c r="Z159" s="10"/>
      <c r="AA159" s="10"/>
      <c r="AB159" s="10"/>
    </row>
    <row r="160" spans="1:28" ht="72" x14ac:dyDescent="0.3">
      <c r="A160" s="43" t="s">
        <v>96</v>
      </c>
      <c r="B160" s="43" t="s">
        <v>97</v>
      </c>
      <c r="C160" s="43" t="s">
        <v>98</v>
      </c>
      <c r="D160" s="43" t="s">
        <v>572</v>
      </c>
      <c r="E160" s="43" t="s">
        <v>464</v>
      </c>
      <c r="F160" s="43" t="s">
        <v>573</v>
      </c>
      <c r="G160" s="43" t="s">
        <v>574</v>
      </c>
      <c r="H160" s="43"/>
      <c r="I160" s="44" t="s">
        <v>103</v>
      </c>
      <c r="J160" s="10"/>
      <c r="K160" s="10"/>
      <c r="L160" s="10"/>
      <c r="M160" s="47" t="str">
        <f t="shared" si="2"/>
        <v>not answered/error</v>
      </c>
      <c r="N160" s="43"/>
      <c r="O160" s="43"/>
      <c r="P160" s="43"/>
      <c r="Q160" s="10" t="s">
        <v>1108</v>
      </c>
      <c r="R160" s="10"/>
      <c r="S160" s="10"/>
      <c r="T160" s="10"/>
      <c r="U160" s="10"/>
      <c r="V160" s="10"/>
      <c r="W160" s="10"/>
      <c r="X160" s="10"/>
      <c r="Y160" s="10"/>
      <c r="Z160" s="10"/>
      <c r="AA160" s="10"/>
      <c r="AB160" s="10"/>
    </row>
    <row r="161" spans="1:28" ht="72" x14ac:dyDescent="0.3">
      <c r="A161" s="43" t="s">
        <v>96</v>
      </c>
      <c r="B161" s="43" t="s">
        <v>97</v>
      </c>
      <c r="C161" s="43" t="s">
        <v>98</v>
      </c>
      <c r="D161" s="43" t="s">
        <v>575</v>
      </c>
      <c r="E161" s="43" t="s">
        <v>464</v>
      </c>
      <c r="F161" s="43" t="s">
        <v>576</v>
      </c>
      <c r="G161" s="43" t="s">
        <v>577</v>
      </c>
      <c r="H161" s="43"/>
      <c r="I161" s="44" t="s">
        <v>103</v>
      </c>
      <c r="J161" s="10"/>
      <c r="K161" s="10"/>
      <c r="L161" s="10"/>
      <c r="M161" s="47" t="str">
        <f t="shared" si="2"/>
        <v>not answered/error</v>
      </c>
      <c r="N161" s="43"/>
      <c r="O161" s="43"/>
      <c r="P161" s="43"/>
      <c r="Q161" s="10" t="s">
        <v>1109</v>
      </c>
      <c r="R161" s="10"/>
      <c r="S161" s="10"/>
      <c r="T161" s="10"/>
      <c r="U161" s="10"/>
      <c r="V161" s="10"/>
      <c r="W161" s="10"/>
      <c r="X161" s="10"/>
      <c r="Y161" s="10"/>
      <c r="Z161" s="10"/>
      <c r="AA161" s="10"/>
      <c r="AB161" s="10"/>
    </row>
    <row r="162" spans="1:28" ht="115.2" x14ac:dyDescent="0.3">
      <c r="A162" s="43" t="s">
        <v>96</v>
      </c>
      <c r="B162" s="43" t="s">
        <v>97</v>
      </c>
      <c r="C162" s="43" t="s">
        <v>98</v>
      </c>
      <c r="D162" s="43" t="s">
        <v>578</v>
      </c>
      <c r="E162" s="43" t="s">
        <v>464</v>
      </c>
      <c r="F162" s="43" t="s">
        <v>579</v>
      </c>
      <c r="G162" s="43" t="s">
        <v>580</v>
      </c>
      <c r="H162" s="43"/>
      <c r="I162" s="44" t="s">
        <v>103</v>
      </c>
      <c r="J162" s="10"/>
      <c r="K162" s="10"/>
      <c r="L162" s="10"/>
      <c r="M162" s="47" t="str">
        <f t="shared" si="2"/>
        <v>not answered/error</v>
      </c>
      <c r="N162" s="43"/>
      <c r="O162" s="43"/>
      <c r="P162" s="43"/>
      <c r="Q162" s="10" t="s">
        <v>1110</v>
      </c>
      <c r="R162" s="10"/>
      <c r="S162" s="10"/>
      <c r="T162" s="10"/>
      <c r="U162" s="10"/>
      <c r="V162" s="10"/>
      <c r="W162" s="10"/>
      <c r="X162" s="10"/>
      <c r="Y162" s="10"/>
      <c r="Z162" s="10"/>
      <c r="AA162" s="10"/>
      <c r="AB162" s="10"/>
    </row>
    <row r="163" spans="1:28" ht="259.2" x14ac:dyDescent="0.3">
      <c r="A163" s="43" t="s">
        <v>96</v>
      </c>
      <c r="B163" s="43" t="s">
        <v>97</v>
      </c>
      <c r="C163" s="43" t="s">
        <v>98</v>
      </c>
      <c r="D163" s="43" t="s">
        <v>581</v>
      </c>
      <c r="E163" s="43" t="s">
        <v>464</v>
      </c>
      <c r="F163" s="43" t="s">
        <v>582</v>
      </c>
      <c r="G163" s="43" t="s">
        <v>583</v>
      </c>
      <c r="H163" s="43"/>
      <c r="I163" s="44" t="s">
        <v>103</v>
      </c>
      <c r="J163" s="10"/>
      <c r="K163" s="10"/>
      <c r="L163" s="10"/>
      <c r="M163" s="47" t="str">
        <f t="shared" si="2"/>
        <v>not answered/error</v>
      </c>
      <c r="N163" s="43"/>
      <c r="O163" s="43"/>
      <c r="P163" s="43"/>
      <c r="Q163" s="10" t="s">
        <v>1111</v>
      </c>
      <c r="R163" s="10"/>
      <c r="S163" s="10"/>
      <c r="T163" s="10"/>
      <c r="U163" s="10"/>
      <c r="V163" s="10"/>
      <c r="W163" s="10"/>
      <c r="X163" s="10"/>
      <c r="Y163" s="10"/>
      <c r="Z163" s="10"/>
      <c r="AA163" s="10"/>
      <c r="AB163" s="10"/>
    </row>
    <row r="164" spans="1:28" ht="216" x14ac:dyDescent="0.3">
      <c r="A164" s="43" t="s">
        <v>96</v>
      </c>
      <c r="B164" s="43" t="s">
        <v>97</v>
      </c>
      <c r="C164" s="43" t="s">
        <v>98</v>
      </c>
      <c r="D164" s="43" t="s">
        <v>584</v>
      </c>
      <c r="E164" s="43" t="s">
        <v>464</v>
      </c>
      <c r="F164" s="43" t="s">
        <v>585</v>
      </c>
      <c r="G164" s="43" t="s">
        <v>586</v>
      </c>
      <c r="H164" s="43"/>
      <c r="I164" s="44" t="s">
        <v>103</v>
      </c>
      <c r="J164" s="10"/>
      <c r="K164" s="10"/>
      <c r="L164" s="10"/>
      <c r="M164" s="47" t="str">
        <f t="shared" si="2"/>
        <v>not answered/error</v>
      </c>
      <c r="N164" s="43"/>
      <c r="O164" s="43"/>
      <c r="P164" s="43"/>
      <c r="Q164" s="10" t="s">
        <v>1112</v>
      </c>
      <c r="R164" s="10"/>
      <c r="S164" s="10"/>
      <c r="T164" s="10"/>
      <c r="U164" s="10"/>
      <c r="V164" s="10"/>
      <c r="W164" s="10"/>
      <c r="X164" s="10"/>
      <c r="Y164" s="10"/>
      <c r="Z164" s="10"/>
      <c r="AA164" s="10"/>
      <c r="AB164" s="10"/>
    </row>
    <row r="165" spans="1:28" ht="86.4" x14ac:dyDescent="0.3">
      <c r="A165" s="43" t="s">
        <v>96</v>
      </c>
      <c r="B165" s="43" t="s">
        <v>97</v>
      </c>
      <c r="C165" s="43" t="s">
        <v>98</v>
      </c>
      <c r="D165" s="43" t="s">
        <v>587</v>
      </c>
      <c r="E165" s="43" t="s">
        <v>464</v>
      </c>
      <c r="F165" s="43" t="s">
        <v>588</v>
      </c>
      <c r="G165" s="43" t="s">
        <v>589</v>
      </c>
      <c r="H165" s="43"/>
      <c r="I165" s="44" t="s">
        <v>103</v>
      </c>
      <c r="J165" s="10"/>
      <c r="K165" s="10"/>
      <c r="L165" s="10"/>
      <c r="M165" s="47" t="str">
        <f t="shared" si="2"/>
        <v>not answered/error</v>
      </c>
      <c r="N165" s="43"/>
      <c r="O165" s="43"/>
      <c r="P165" s="43"/>
      <c r="Q165" s="10" t="s">
        <v>1113</v>
      </c>
      <c r="R165" s="10"/>
      <c r="S165" s="10"/>
      <c r="T165" s="10"/>
      <c r="U165" s="10"/>
      <c r="V165" s="10"/>
      <c r="W165" s="10"/>
      <c r="X165" s="10"/>
      <c r="Y165" s="10"/>
      <c r="Z165" s="10"/>
      <c r="AA165" s="10"/>
      <c r="AB165" s="10"/>
    </row>
    <row r="166" spans="1:28" ht="187.2" x14ac:dyDescent="0.3">
      <c r="A166" s="43" t="s">
        <v>96</v>
      </c>
      <c r="B166" s="43" t="s">
        <v>97</v>
      </c>
      <c r="C166" s="43" t="s">
        <v>98</v>
      </c>
      <c r="D166" s="43" t="s">
        <v>590</v>
      </c>
      <c r="E166" s="43" t="s">
        <v>464</v>
      </c>
      <c r="F166" s="43" t="s">
        <v>591</v>
      </c>
      <c r="G166" s="43" t="s">
        <v>592</v>
      </c>
      <c r="H166" s="43"/>
      <c r="I166" s="44" t="s">
        <v>103</v>
      </c>
      <c r="J166" s="10"/>
      <c r="K166" s="10"/>
      <c r="L166" s="10"/>
      <c r="M166" s="47" t="str">
        <f t="shared" si="2"/>
        <v>not answered/error</v>
      </c>
      <c r="N166" s="43"/>
      <c r="O166" s="43"/>
      <c r="P166" s="43"/>
      <c r="Q166" s="10" t="s">
        <v>1114</v>
      </c>
      <c r="R166" s="10"/>
      <c r="S166" s="10"/>
      <c r="T166" s="10"/>
      <c r="U166" s="10"/>
      <c r="V166" s="10"/>
      <c r="W166" s="10"/>
      <c r="X166" s="10"/>
      <c r="Y166" s="10"/>
      <c r="Z166" s="10"/>
      <c r="AA166" s="10"/>
      <c r="AB166" s="10"/>
    </row>
    <row r="167" spans="1:28" ht="72" x14ac:dyDescent="0.3">
      <c r="A167" s="43" t="s">
        <v>96</v>
      </c>
      <c r="B167" s="43" t="s">
        <v>97</v>
      </c>
      <c r="C167" s="43" t="s">
        <v>98</v>
      </c>
      <c r="D167" s="43" t="s">
        <v>593</v>
      </c>
      <c r="E167" s="43" t="s">
        <v>464</v>
      </c>
      <c r="F167" s="43" t="s">
        <v>594</v>
      </c>
      <c r="G167" s="43" t="s">
        <v>595</v>
      </c>
      <c r="H167" s="43"/>
      <c r="I167" s="44" t="s">
        <v>103</v>
      </c>
      <c r="J167" s="9"/>
      <c r="K167" s="9"/>
      <c r="L167" s="9"/>
      <c r="M167" s="47" t="str">
        <f t="shared" si="2"/>
        <v>not answered/error</v>
      </c>
      <c r="N167" s="43"/>
      <c r="O167" s="43"/>
      <c r="P167" s="43"/>
      <c r="Q167" s="10" t="s">
        <v>1115</v>
      </c>
      <c r="R167" s="10"/>
      <c r="S167" s="10"/>
      <c r="T167" s="10"/>
      <c r="U167" s="10"/>
      <c r="V167" s="10"/>
      <c r="W167" s="10"/>
      <c r="X167" s="10"/>
      <c r="Y167" s="10"/>
      <c r="Z167" s="10"/>
      <c r="AA167" s="10"/>
      <c r="AB167" s="10"/>
    </row>
    <row r="168" spans="1:28" ht="230.4" x14ac:dyDescent="0.3">
      <c r="A168" s="43" t="s">
        <v>96</v>
      </c>
      <c r="B168" s="43" t="s">
        <v>97</v>
      </c>
      <c r="C168" s="43" t="s">
        <v>98</v>
      </c>
      <c r="D168" s="43" t="s">
        <v>596</v>
      </c>
      <c r="E168" s="43" t="s">
        <v>464</v>
      </c>
      <c r="F168" s="43" t="s">
        <v>597</v>
      </c>
      <c r="G168" s="43" t="s">
        <v>598</v>
      </c>
      <c r="H168" s="43"/>
      <c r="I168" s="44" t="s">
        <v>103</v>
      </c>
      <c r="J168" s="10"/>
      <c r="K168" s="10"/>
      <c r="L168" s="10"/>
      <c r="M168" s="47" t="str">
        <f t="shared" si="2"/>
        <v>not answered/error</v>
      </c>
      <c r="N168" s="43"/>
      <c r="O168" s="43"/>
      <c r="P168" s="43"/>
      <c r="Q168" s="10" t="s">
        <v>1116</v>
      </c>
      <c r="R168" s="10"/>
      <c r="S168" s="10"/>
      <c r="T168" s="10"/>
      <c r="U168" s="10"/>
      <c r="V168" s="10"/>
      <c r="W168" s="10"/>
      <c r="X168" s="10"/>
      <c r="Y168" s="10"/>
      <c r="Z168" s="10"/>
      <c r="AA168" s="10"/>
      <c r="AB168" s="10"/>
    </row>
    <row r="169" spans="1:28" ht="115.2" x14ac:dyDescent="0.3">
      <c r="A169" s="43" t="s">
        <v>96</v>
      </c>
      <c r="B169" s="43" t="s">
        <v>97</v>
      </c>
      <c r="C169" s="43" t="s">
        <v>98</v>
      </c>
      <c r="D169" s="43" t="s">
        <v>599</v>
      </c>
      <c r="E169" s="43" t="s">
        <v>464</v>
      </c>
      <c r="F169" s="43" t="s">
        <v>600</v>
      </c>
      <c r="G169" s="43" t="s">
        <v>601</v>
      </c>
      <c r="H169" s="43"/>
      <c r="I169" s="44" t="s">
        <v>103</v>
      </c>
      <c r="J169" s="10"/>
      <c r="K169" s="10"/>
      <c r="L169" s="10"/>
      <c r="M169" s="47" t="str">
        <f t="shared" si="2"/>
        <v>not answered/error</v>
      </c>
      <c r="N169" s="43"/>
      <c r="O169" s="43"/>
      <c r="P169" s="43"/>
      <c r="Q169" s="10" t="s">
        <v>1117</v>
      </c>
      <c r="R169" s="10"/>
      <c r="S169" s="10"/>
      <c r="T169" s="10"/>
      <c r="U169" s="10"/>
      <c r="V169" s="10"/>
      <c r="W169" s="10"/>
      <c r="X169" s="10"/>
      <c r="Y169" s="10"/>
      <c r="Z169" s="10"/>
      <c r="AA169" s="10"/>
      <c r="AB169" s="10"/>
    </row>
    <row r="170" spans="1:28" ht="216" x14ac:dyDescent="0.3">
      <c r="A170" s="43" t="s">
        <v>96</v>
      </c>
      <c r="B170" s="43" t="s">
        <v>97</v>
      </c>
      <c r="C170" s="43" t="s">
        <v>98</v>
      </c>
      <c r="D170" s="43" t="s">
        <v>602</v>
      </c>
      <c r="E170" s="43" t="s">
        <v>464</v>
      </c>
      <c r="F170" s="43" t="s">
        <v>603</v>
      </c>
      <c r="G170" s="43" t="s">
        <v>604</v>
      </c>
      <c r="H170" s="43"/>
      <c r="I170" s="44" t="s">
        <v>103</v>
      </c>
      <c r="J170" s="9"/>
      <c r="K170" s="9"/>
      <c r="L170" s="9"/>
      <c r="M170" s="47" t="str">
        <f t="shared" si="2"/>
        <v>not answered/error</v>
      </c>
      <c r="N170" s="43"/>
      <c r="O170" s="43"/>
      <c r="P170" s="43"/>
      <c r="Q170" s="10" t="s">
        <v>1118</v>
      </c>
      <c r="R170" s="10"/>
      <c r="S170" s="10"/>
      <c r="T170" s="10"/>
      <c r="U170" s="10"/>
      <c r="V170" s="10"/>
      <c r="W170" s="10"/>
      <c r="X170" s="10"/>
      <c r="Y170" s="10"/>
      <c r="Z170" s="10"/>
      <c r="AA170" s="10"/>
      <c r="AB170" s="10"/>
    </row>
    <row r="171" spans="1:28" ht="72" x14ac:dyDescent="0.3">
      <c r="A171" s="43" t="s">
        <v>96</v>
      </c>
      <c r="B171" s="43" t="s">
        <v>97</v>
      </c>
      <c r="C171" s="43" t="s">
        <v>98</v>
      </c>
      <c r="D171" s="43" t="s">
        <v>605</v>
      </c>
      <c r="E171" s="43" t="s">
        <v>464</v>
      </c>
      <c r="F171" s="43" t="s">
        <v>606</v>
      </c>
      <c r="G171" s="43" t="s">
        <v>607</v>
      </c>
      <c r="H171" s="43"/>
      <c r="I171" s="44" t="s">
        <v>103</v>
      </c>
      <c r="J171" s="10"/>
      <c r="K171" s="10"/>
      <c r="L171" s="10"/>
      <c r="M171" s="47" t="str">
        <f t="shared" si="2"/>
        <v>not answered/error</v>
      </c>
      <c r="N171" s="43"/>
      <c r="O171" s="43"/>
      <c r="P171" s="43"/>
      <c r="Q171" s="10" t="s">
        <v>1119</v>
      </c>
      <c r="R171" s="10"/>
      <c r="S171" s="10"/>
      <c r="T171" s="10"/>
      <c r="U171" s="10"/>
      <c r="V171" s="10"/>
      <c r="W171" s="10"/>
      <c r="X171" s="10"/>
      <c r="Y171" s="10"/>
      <c r="Z171" s="10"/>
      <c r="AA171" s="10"/>
      <c r="AB171" s="10"/>
    </row>
    <row r="172" spans="1:28" ht="216" x14ac:dyDescent="0.3">
      <c r="A172" s="43" t="s">
        <v>96</v>
      </c>
      <c r="B172" s="43" t="s">
        <v>97</v>
      </c>
      <c r="C172" s="43" t="s">
        <v>98</v>
      </c>
      <c r="D172" s="43" t="s">
        <v>608</v>
      </c>
      <c r="E172" s="43" t="s">
        <v>464</v>
      </c>
      <c r="F172" s="43" t="s">
        <v>609</v>
      </c>
      <c r="G172" s="43" t="s">
        <v>610</v>
      </c>
      <c r="H172" s="43"/>
      <c r="I172" s="44" t="s">
        <v>103</v>
      </c>
      <c r="J172" s="10"/>
      <c r="K172" s="10"/>
      <c r="L172" s="10"/>
      <c r="M172" s="47" t="str">
        <f t="shared" si="2"/>
        <v>not answered/error</v>
      </c>
      <c r="N172" s="43"/>
      <c r="O172" s="43"/>
      <c r="P172" s="43"/>
      <c r="Q172" s="10" t="s">
        <v>1120</v>
      </c>
      <c r="R172" s="10"/>
      <c r="S172" s="10"/>
      <c r="T172" s="10"/>
      <c r="U172" s="10"/>
      <c r="V172" s="10"/>
      <c r="W172" s="10"/>
      <c r="X172" s="10"/>
      <c r="Y172" s="10"/>
      <c r="Z172" s="10"/>
      <c r="AA172" s="10"/>
      <c r="AB172" s="10"/>
    </row>
    <row r="173" spans="1:28" ht="72" x14ac:dyDescent="0.3">
      <c r="A173" s="43" t="s">
        <v>96</v>
      </c>
      <c r="B173" s="43" t="s">
        <v>97</v>
      </c>
      <c r="C173" s="43" t="s">
        <v>98</v>
      </c>
      <c r="D173" s="43" t="s">
        <v>611</v>
      </c>
      <c r="E173" s="43" t="s">
        <v>464</v>
      </c>
      <c r="F173" s="43" t="s">
        <v>612</v>
      </c>
      <c r="G173" s="43" t="s">
        <v>613</v>
      </c>
      <c r="H173" s="43"/>
      <c r="I173" s="44" t="s">
        <v>103</v>
      </c>
      <c r="J173" s="10"/>
      <c r="K173" s="10"/>
      <c r="L173" s="10"/>
      <c r="M173" s="47" t="str">
        <f t="shared" si="2"/>
        <v>not answered/error</v>
      </c>
      <c r="N173" s="43"/>
      <c r="O173" s="43"/>
      <c r="P173" s="43"/>
      <c r="Q173" s="10" t="s">
        <v>1121</v>
      </c>
      <c r="R173" s="10"/>
      <c r="S173" s="10"/>
      <c r="T173" s="10"/>
      <c r="U173" s="10"/>
      <c r="V173" s="10"/>
      <c r="W173" s="10"/>
      <c r="X173" s="10"/>
      <c r="Y173" s="10"/>
      <c r="Z173" s="10"/>
      <c r="AA173" s="10"/>
      <c r="AB173" s="10"/>
    </row>
    <row r="174" spans="1:28" ht="230.4" x14ac:dyDescent="0.3">
      <c r="A174" s="43" t="s">
        <v>96</v>
      </c>
      <c r="B174" s="43" t="s">
        <v>97</v>
      </c>
      <c r="C174" s="43" t="s">
        <v>98</v>
      </c>
      <c r="D174" s="43" t="s">
        <v>614</v>
      </c>
      <c r="E174" s="43" t="s">
        <v>464</v>
      </c>
      <c r="F174" s="43" t="s">
        <v>615</v>
      </c>
      <c r="G174" s="43" t="s">
        <v>616</v>
      </c>
      <c r="H174" s="43"/>
      <c r="I174" s="44" t="s">
        <v>103</v>
      </c>
      <c r="J174" s="10"/>
      <c r="K174" s="10"/>
      <c r="L174" s="10"/>
      <c r="M174" s="47" t="str">
        <f t="shared" si="2"/>
        <v>not answered/error</v>
      </c>
      <c r="N174" s="43"/>
      <c r="O174" s="43"/>
      <c r="P174" s="43"/>
      <c r="Q174" s="10" t="s">
        <v>1122</v>
      </c>
      <c r="R174" s="10"/>
      <c r="S174" s="10"/>
      <c r="T174" s="10"/>
      <c r="U174" s="10"/>
      <c r="V174" s="10"/>
      <c r="W174" s="10"/>
      <c r="X174" s="10"/>
      <c r="Y174" s="10"/>
      <c r="Z174" s="10"/>
      <c r="AA174" s="10"/>
      <c r="AB174" s="10"/>
    </row>
    <row r="175" spans="1:28" ht="72" x14ac:dyDescent="0.3">
      <c r="A175" s="43" t="s">
        <v>96</v>
      </c>
      <c r="B175" s="43" t="s">
        <v>97</v>
      </c>
      <c r="C175" s="43" t="s">
        <v>98</v>
      </c>
      <c r="D175" s="43" t="s">
        <v>617</v>
      </c>
      <c r="E175" s="43" t="s">
        <v>464</v>
      </c>
      <c r="F175" s="43" t="s">
        <v>618</v>
      </c>
      <c r="G175" s="43" t="s">
        <v>619</v>
      </c>
      <c r="H175" s="43"/>
      <c r="I175" s="44" t="s">
        <v>103</v>
      </c>
      <c r="J175" s="10"/>
      <c r="K175" s="10"/>
      <c r="L175" s="10"/>
      <c r="M175" s="47" t="str">
        <f t="shared" si="2"/>
        <v>not answered/error</v>
      </c>
      <c r="N175" s="43"/>
      <c r="O175" s="43"/>
      <c r="P175" s="43"/>
      <c r="Q175" s="10" t="s">
        <v>1123</v>
      </c>
      <c r="R175" s="10"/>
      <c r="S175" s="10"/>
      <c r="T175" s="10"/>
      <c r="U175" s="10"/>
      <c r="V175" s="10"/>
      <c r="W175" s="10"/>
      <c r="X175" s="10"/>
      <c r="Y175" s="10"/>
      <c r="Z175" s="10"/>
      <c r="AA175" s="10"/>
      <c r="AB175" s="10"/>
    </row>
    <row r="176" spans="1:28" ht="158.4" x14ac:dyDescent="0.3">
      <c r="A176" s="43" t="s">
        <v>96</v>
      </c>
      <c r="B176" s="43" t="s">
        <v>97</v>
      </c>
      <c r="C176" s="43" t="s">
        <v>98</v>
      </c>
      <c r="D176" s="43" t="s">
        <v>620</v>
      </c>
      <c r="E176" s="43" t="s">
        <v>464</v>
      </c>
      <c r="F176" s="43" t="s">
        <v>621</v>
      </c>
      <c r="G176" s="43" t="s">
        <v>622</v>
      </c>
      <c r="H176" s="43"/>
      <c r="I176" s="44" t="s">
        <v>103</v>
      </c>
      <c r="J176" s="10"/>
      <c r="K176" s="10"/>
      <c r="L176" s="10"/>
      <c r="M176" s="47" t="str">
        <f t="shared" si="2"/>
        <v>not answered/error</v>
      </c>
      <c r="N176" s="43"/>
      <c r="O176" s="43"/>
      <c r="P176" s="43"/>
      <c r="Q176" s="10" t="s">
        <v>1124</v>
      </c>
      <c r="R176" s="10"/>
      <c r="S176" s="10"/>
      <c r="T176" s="10"/>
      <c r="U176" s="10"/>
      <c r="V176" s="10"/>
      <c r="W176" s="10"/>
      <c r="X176" s="10"/>
      <c r="Y176" s="10"/>
      <c r="Z176" s="10"/>
      <c r="AA176" s="10"/>
      <c r="AB176" s="10"/>
    </row>
    <row r="177" spans="1:28" ht="86.4" x14ac:dyDescent="0.3">
      <c r="A177" s="43" t="s">
        <v>96</v>
      </c>
      <c r="B177" s="43" t="s">
        <v>97</v>
      </c>
      <c r="C177" s="43" t="s">
        <v>98</v>
      </c>
      <c r="D177" s="43" t="s">
        <v>623</v>
      </c>
      <c r="E177" s="43" t="s">
        <v>464</v>
      </c>
      <c r="F177" s="43" t="s">
        <v>624</v>
      </c>
      <c r="G177" s="43" t="s">
        <v>625</v>
      </c>
      <c r="H177" s="43"/>
      <c r="I177" s="45" t="s">
        <v>203</v>
      </c>
      <c r="J177" s="10"/>
      <c r="K177" s="10"/>
      <c r="L177" s="10"/>
      <c r="M177" s="47" t="str">
        <f t="shared" si="2"/>
        <v>not answered/error</v>
      </c>
      <c r="N177" s="43"/>
      <c r="O177" s="43"/>
      <c r="P177" s="43"/>
      <c r="Q177" s="10"/>
      <c r="R177" s="10"/>
      <c r="S177" s="10"/>
      <c r="T177" s="10"/>
      <c r="U177" s="10"/>
      <c r="V177" s="10"/>
      <c r="W177" s="10"/>
      <c r="X177" s="10"/>
      <c r="Y177" s="10"/>
      <c r="Z177" s="10"/>
      <c r="AA177" s="10"/>
      <c r="AB177" s="10"/>
    </row>
    <row r="178" spans="1:28" ht="72" x14ac:dyDescent="0.3">
      <c r="A178" s="43" t="s">
        <v>96</v>
      </c>
      <c r="B178" s="43" t="s">
        <v>97</v>
      </c>
      <c r="C178" s="43" t="s">
        <v>98</v>
      </c>
      <c r="D178" s="43" t="s">
        <v>626</v>
      </c>
      <c r="E178" s="43" t="s">
        <v>464</v>
      </c>
      <c r="F178" s="43" t="s">
        <v>627</v>
      </c>
      <c r="G178" s="43" t="s">
        <v>628</v>
      </c>
      <c r="H178" s="43"/>
      <c r="I178" s="44" t="s">
        <v>103</v>
      </c>
      <c r="J178" s="10"/>
      <c r="K178" s="10"/>
      <c r="L178" s="10"/>
      <c r="M178" s="47" t="str">
        <f t="shared" si="2"/>
        <v>not answered/error</v>
      </c>
      <c r="N178" s="43"/>
      <c r="O178" s="43"/>
      <c r="P178" s="43"/>
      <c r="Q178" s="10"/>
      <c r="R178" s="10"/>
      <c r="S178" s="10"/>
      <c r="T178" s="10"/>
      <c r="U178" s="10"/>
      <c r="V178" s="10"/>
      <c r="W178" s="10"/>
      <c r="X178" s="10"/>
      <c r="Y178" s="10"/>
      <c r="Z178" s="10"/>
      <c r="AA178" s="10"/>
      <c r="AB178" s="10"/>
    </row>
    <row r="179" spans="1:28" ht="72" x14ac:dyDescent="0.3">
      <c r="A179" s="43" t="s">
        <v>96</v>
      </c>
      <c r="B179" s="43" t="s">
        <v>97</v>
      </c>
      <c r="C179" s="43" t="s">
        <v>98</v>
      </c>
      <c r="D179" s="43" t="s">
        <v>629</v>
      </c>
      <c r="E179" s="43" t="s">
        <v>464</v>
      </c>
      <c r="F179" s="43" t="s">
        <v>630</v>
      </c>
      <c r="G179" s="43" t="s">
        <v>631</v>
      </c>
      <c r="H179" s="43"/>
      <c r="I179" s="44" t="s">
        <v>103</v>
      </c>
      <c r="J179" s="10"/>
      <c r="K179" s="10"/>
      <c r="L179" s="10"/>
      <c r="M179" s="47" t="str">
        <f t="shared" si="2"/>
        <v>not answered/error</v>
      </c>
      <c r="N179" s="43"/>
      <c r="O179" s="43"/>
      <c r="P179" s="43"/>
      <c r="Q179" s="10" t="s">
        <v>1125</v>
      </c>
      <c r="R179" s="10"/>
      <c r="S179" s="10"/>
      <c r="T179" s="10"/>
      <c r="U179" s="10"/>
      <c r="V179" s="10"/>
      <c r="W179" s="10"/>
      <c r="X179" s="10"/>
      <c r="Y179" s="10"/>
      <c r="Z179" s="10"/>
      <c r="AA179" s="10"/>
      <c r="AB179" s="10"/>
    </row>
    <row r="180" spans="1:28" ht="72" x14ac:dyDescent="0.3">
      <c r="A180" s="43" t="s">
        <v>96</v>
      </c>
      <c r="B180" s="43" t="s">
        <v>97</v>
      </c>
      <c r="C180" s="43" t="s">
        <v>98</v>
      </c>
      <c r="D180" s="43" t="s">
        <v>632</v>
      </c>
      <c r="E180" s="43" t="s">
        <v>464</v>
      </c>
      <c r="F180" s="43" t="s">
        <v>633</v>
      </c>
      <c r="G180" s="43" t="s">
        <v>634</v>
      </c>
      <c r="H180" s="43"/>
      <c r="I180" s="44" t="s">
        <v>103</v>
      </c>
      <c r="J180" s="10"/>
      <c r="K180" s="10"/>
      <c r="L180" s="10"/>
      <c r="M180" s="47" t="str">
        <f t="shared" si="2"/>
        <v>not answered/error</v>
      </c>
      <c r="N180" s="43"/>
      <c r="O180" s="43"/>
      <c r="P180" s="43"/>
      <c r="Q180" s="10" t="s">
        <v>1126</v>
      </c>
      <c r="R180" s="10"/>
      <c r="S180" s="10"/>
      <c r="T180" s="10"/>
      <c r="U180" s="10"/>
      <c r="V180" s="10"/>
      <c r="W180" s="10"/>
      <c r="X180" s="10"/>
      <c r="Y180" s="10"/>
      <c r="Z180" s="10"/>
      <c r="AA180" s="10"/>
      <c r="AB180" s="10"/>
    </row>
    <row r="181" spans="1:28" ht="201.6" x14ac:dyDescent="0.3">
      <c r="A181" s="43" t="s">
        <v>96</v>
      </c>
      <c r="B181" s="43" t="s">
        <v>97</v>
      </c>
      <c r="C181" s="43" t="s">
        <v>98</v>
      </c>
      <c r="D181" s="43" t="s">
        <v>635</v>
      </c>
      <c r="E181" s="43" t="s">
        <v>464</v>
      </c>
      <c r="F181" s="43" t="s">
        <v>636</v>
      </c>
      <c r="G181" s="43" t="s">
        <v>637</v>
      </c>
      <c r="H181" s="43"/>
      <c r="I181" s="44" t="s">
        <v>103</v>
      </c>
      <c r="J181" s="9"/>
      <c r="K181" s="9"/>
      <c r="L181" s="9"/>
      <c r="M181" s="47" t="str">
        <f t="shared" si="2"/>
        <v>not answered/error</v>
      </c>
      <c r="N181" s="43"/>
      <c r="O181" s="43"/>
      <c r="P181" s="43"/>
      <c r="Q181" s="10" t="s">
        <v>1127</v>
      </c>
      <c r="R181" s="10"/>
      <c r="S181" s="10"/>
      <c r="T181" s="10"/>
      <c r="U181" s="10"/>
      <c r="V181" s="10"/>
      <c r="W181" s="10"/>
      <c r="X181" s="10"/>
      <c r="Y181" s="10"/>
      <c r="Z181" s="10"/>
      <c r="AA181" s="10"/>
      <c r="AB181" s="10"/>
    </row>
    <row r="182" spans="1:28" ht="187.2" x14ac:dyDescent="0.3">
      <c r="A182" s="43" t="s">
        <v>96</v>
      </c>
      <c r="B182" s="43" t="s">
        <v>97</v>
      </c>
      <c r="C182" s="43" t="s">
        <v>98</v>
      </c>
      <c r="D182" s="43" t="s">
        <v>638</v>
      </c>
      <c r="E182" s="43" t="s">
        <v>464</v>
      </c>
      <c r="F182" s="43" t="s">
        <v>639</v>
      </c>
      <c r="G182" s="43" t="s">
        <v>640</v>
      </c>
      <c r="H182" s="43"/>
      <c r="I182" s="44" t="s">
        <v>103</v>
      </c>
      <c r="J182" s="10"/>
      <c r="K182" s="10"/>
      <c r="L182" s="10"/>
      <c r="M182" s="47" t="str">
        <f t="shared" si="2"/>
        <v>not answered/error</v>
      </c>
      <c r="N182" s="43"/>
      <c r="O182" s="43"/>
      <c r="P182" s="43"/>
      <c r="Q182" s="10" t="s">
        <v>1128</v>
      </c>
      <c r="R182" s="10"/>
      <c r="S182" s="10"/>
      <c r="T182" s="10"/>
      <c r="U182" s="10"/>
      <c r="V182" s="10"/>
      <c r="W182" s="10"/>
      <c r="X182" s="10"/>
      <c r="Y182" s="10"/>
      <c r="Z182" s="10"/>
      <c r="AA182" s="10"/>
      <c r="AB182" s="10"/>
    </row>
    <row r="183" spans="1:28" ht="86.4" x14ac:dyDescent="0.3">
      <c r="A183" s="43" t="s">
        <v>96</v>
      </c>
      <c r="B183" s="43" t="s">
        <v>97</v>
      </c>
      <c r="C183" s="43" t="s">
        <v>98</v>
      </c>
      <c r="D183" s="43" t="s">
        <v>641</v>
      </c>
      <c r="E183" s="43" t="s">
        <v>464</v>
      </c>
      <c r="F183" s="43" t="s">
        <v>642</v>
      </c>
      <c r="G183" s="43" t="s">
        <v>643</v>
      </c>
      <c r="H183" s="43"/>
      <c r="I183" s="44" t="s">
        <v>103</v>
      </c>
      <c r="J183" s="10"/>
      <c r="K183" s="10"/>
      <c r="L183" s="10"/>
      <c r="M183" s="47" t="str">
        <f t="shared" si="2"/>
        <v>not answered/error</v>
      </c>
      <c r="N183" s="43"/>
      <c r="O183" s="43"/>
      <c r="P183" s="43"/>
      <c r="Q183" s="10" t="s">
        <v>1129</v>
      </c>
      <c r="R183" s="10"/>
      <c r="S183" s="10"/>
      <c r="T183" s="10"/>
      <c r="U183" s="10"/>
      <c r="V183" s="10"/>
      <c r="W183" s="10"/>
      <c r="X183" s="10"/>
      <c r="Y183" s="10"/>
      <c r="Z183" s="10"/>
      <c r="AA183" s="10"/>
      <c r="AB183" s="10"/>
    </row>
    <row r="184" spans="1:28" ht="360" x14ac:dyDescent="0.3">
      <c r="A184" s="43" t="s">
        <v>96</v>
      </c>
      <c r="B184" s="43" t="s">
        <v>97</v>
      </c>
      <c r="C184" s="43" t="s">
        <v>98</v>
      </c>
      <c r="D184" s="43" t="s">
        <v>644</v>
      </c>
      <c r="E184" s="43" t="s">
        <v>464</v>
      </c>
      <c r="F184" s="43" t="s">
        <v>645</v>
      </c>
      <c r="G184" s="43" t="s">
        <v>646</v>
      </c>
      <c r="H184" s="43"/>
      <c r="I184" s="44" t="s">
        <v>103</v>
      </c>
      <c r="J184" s="9"/>
      <c r="K184" s="9"/>
      <c r="L184" s="9"/>
      <c r="M184" s="47" t="str">
        <f t="shared" si="2"/>
        <v>not answered/error</v>
      </c>
      <c r="N184" s="43"/>
      <c r="O184" s="43"/>
      <c r="P184" s="43"/>
      <c r="Q184" s="10" t="s">
        <v>1006</v>
      </c>
      <c r="R184" s="10"/>
      <c r="S184" s="10"/>
      <c r="T184" s="10"/>
      <c r="U184" s="10"/>
      <c r="V184" s="10"/>
      <c r="W184" s="10"/>
      <c r="X184" s="10"/>
      <c r="Y184" s="10"/>
      <c r="Z184" s="10"/>
      <c r="AA184" s="10"/>
      <c r="AB184" s="10"/>
    </row>
    <row r="185" spans="1:28" ht="72" x14ac:dyDescent="0.3">
      <c r="A185" s="43" t="s">
        <v>96</v>
      </c>
      <c r="B185" s="43" t="s">
        <v>97</v>
      </c>
      <c r="C185" s="43" t="s">
        <v>98</v>
      </c>
      <c r="D185" s="43" t="s">
        <v>647</v>
      </c>
      <c r="E185" s="43" t="s">
        <v>464</v>
      </c>
      <c r="F185" s="43" t="s">
        <v>648</v>
      </c>
      <c r="G185" s="43" t="s">
        <v>649</v>
      </c>
      <c r="H185" s="43"/>
      <c r="I185" s="44" t="s">
        <v>103</v>
      </c>
      <c r="J185" s="10"/>
      <c r="K185" s="10"/>
      <c r="L185" s="10"/>
      <c r="M185" s="47" t="str">
        <f t="shared" si="2"/>
        <v>not answered/error</v>
      </c>
      <c r="N185" s="43"/>
      <c r="O185" s="43"/>
      <c r="P185" s="43"/>
      <c r="Q185" s="10" t="s">
        <v>1130</v>
      </c>
      <c r="R185" s="10"/>
      <c r="S185" s="10"/>
      <c r="T185" s="10"/>
      <c r="U185" s="10"/>
      <c r="V185" s="10"/>
      <c r="W185" s="10"/>
      <c r="X185" s="10"/>
      <c r="Y185" s="10"/>
      <c r="Z185" s="10"/>
      <c r="AA185" s="10"/>
      <c r="AB185" s="10"/>
    </row>
    <row r="186" spans="1:28" ht="115.2" x14ac:dyDescent="0.3">
      <c r="A186" s="43" t="s">
        <v>96</v>
      </c>
      <c r="B186" s="43" t="s">
        <v>97</v>
      </c>
      <c r="C186" s="43" t="s">
        <v>98</v>
      </c>
      <c r="D186" s="43" t="s">
        <v>650</v>
      </c>
      <c r="E186" s="43" t="s">
        <v>464</v>
      </c>
      <c r="F186" s="43" t="s">
        <v>651</v>
      </c>
      <c r="G186" s="43" t="s">
        <v>652</v>
      </c>
      <c r="H186" s="43"/>
      <c r="I186" s="44" t="s">
        <v>103</v>
      </c>
      <c r="J186" s="9"/>
      <c r="K186" s="9"/>
      <c r="L186" s="9"/>
      <c r="M186" s="47" t="str">
        <f t="shared" si="2"/>
        <v>not answered/error</v>
      </c>
      <c r="N186" s="43"/>
      <c r="O186" s="43"/>
      <c r="P186" s="43"/>
      <c r="Q186" s="10" t="s">
        <v>1131</v>
      </c>
      <c r="R186" s="10"/>
      <c r="S186" s="10"/>
      <c r="T186" s="10"/>
      <c r="U186" s="10"/>
      <c r="V186" s="10"/>
      <c r="W186" s="10"/>
      <c r="X186" s="10"/>
      <c r="Y186" s="10"/>
      <c r="Z186" s="10"/>
      <c r="AA186" s="10"/>
      <c r="AB186" s="10"/>
    </row>
    <row r="187" spans="1:28" ht="72" x14ac:dyDescent="0.3">
      <c r="A187" s="43" t="s">
        <v>96</v>
      </c>
      <c r="B187" s="43" t="s">
        <v>97</v>
      </c>
      <c r="C187" s="43" t="s">
        <v>98</v>
      </c>
      <c r="D187" s="43" t="s">
        <v>653</v>
      </c>
      <c r="E187" s="43" t="s">
        <v>464</v>
      </c>
      <c r="F187" s="43" t="s">
        <v>654</v>
      </c>
      <c r="G187" s="43" t="s">
        <v>655</v>
      </c>
      <c r="H187" s="43"/>
      <c r="I187" s="44" t="s">
        <v>103</v>
      </c>
      <c r="J187" s="9"/>
      <c r="K187" s="9"/>
      <c r="L187" s="9"/>
      <c r="M187" s="47" t="str">
        <f t="shared" si="2"/>
        <v>not answered/error</v>
      </c>
      <c r="N187" s="43"/>
      <c r="O187" s="43"/>
      <c r="P187" s="43"/>
      <c r="Q187" s="10" t="s">
        <v>1132</v>
      </c>
      <c r="R187" s="10"/>
      <c r="S187" s="10"/>
      <c r="T187" s="10"/>
      <c r="U187" s="10"/>
      <c r="V187" s="10"/>
      <c r="W187" s="10"/>
      <c r="X187" s="10"/>
      <c r="Y187" s="10"/>
      <c r="Z187" s="10"/>
      <c r="AA187" s="10"/>
      <c r="AB187" s="10"/>
    </row>
    <row r="188" spans="1:28" ht="72" x14ac:dyDescent="0.3">
      <c r="A188" s="43" t="s">
        <v>96</v>
      </c>
      <c r="B188" s="43" t="s">
        <v>97</v>
      </c>
      <c r="C188" s="43" t="s">
        <v>98</v>
      </c>
      <c r="D188" s="43" t="s">
        <v>656</v>
      </c>
      <c r="E188" s="43" t="s">
        <v>464</v>
      </c>
      <c r="F188" s="43" t="s">
        <v>657</v>
      </c>
      <c r="G188" s="43" t="s">
        <v>658</v>
      </c>
      <c r="H188" s="43"/>
      <c r="I188" s="44" t="s">
        <v>103</v>
      </c>
      <c r="J188" s="10"/>
      <c r="K188" s="10"/>
      <c r="L188" s="10"/>
      <c r="M188" s="47" t="str">
        <f t="shared" si="2"/>
        <v>not answered/error</v>
      </c>
      <c r="N188" s="43"/>
      <c r="O188" s="43"/>
      <c r="P188" s="43"/>
      <c r="Q188" s="10" t="s">
        <v>1133</v>
      </c>
      <c r="R188" s="10"/>
      <c r="S188" s="10"/>
      <c r="T188" s="10"/>
      <c r="U188" s="10"/>
      <c r="V188" s="10"/>
      <c r="W188" s="10"/>
      <c r="X188" s="10"/>
      <c r="Y188" s="10"/>
      <c r="Z188" s="10"/>
      <c r="AA188" s="10"/>
      <c r="AB188" s="10"/>
    </row>
    <row r="189" spans="1:28" ht="72" x14ac:dyDescent="0.3">
      <c r="A189" s="43" t="s">
        <v>96</v>
      </c>
      <c r="B189" s="43" t="s">
        <v>97</v>
      </c>
      <c r="C189" s="43" t="s">
        <v>98</v>
      </c>
      <c r="D189" s="43" t="s">
        <v>659</v>
      </c>
      <c r="E189" s="43" t="s">
        <v>464</v>
      </c>
      <c r="F189" s="43" t="s">
        <v>660</v>
      </c>
      <c r="G189" s="43" t="s">
        <v>661</v>
      </c>
      <c r="H189" s="43"/>
      <c r="I189" s="44" t="s">
        <v>103</v>
      </c>
      <c r="J189" s="10"/>
      <c r="K189" s="10"/>
      <c r="L189" s="10"/>
      <c r="M189" s="47" t="str">
        <f t="shared" si="2"/>
        <v>not answered/error</v>
      </c>
      <c r="N189" s="43"/>
      <c r="O189" s="43"/>
      <c r="P189" s="43"/>
      <c r="Q189" s="10" t="s">
        <v>1134</v>
      </c>
      <c r="R189" s="10"/>
      <c r="S189" s="10"/>
      <c r="T189" s="10"/>
      <c r="U189" s="10"/>
      <c r="V189" s="10"/>
      <c r="W189" s="10"/>
      <c r="X189" s="10"/>
      <c r="Y189" s="10"/>
      <c r="Z189" s="10"/>
      <c r="AA189" s="10"/>
      <c r="AB189" s="10"/>
    </row>
    <row r="190" spans="1:28" ht="100.8" x14ac:dyDescent="0.3">
      <c r="A190" s="43" t="s">
        <v>96</v>
      </c>
      <c r="B190" s="43" t="s">
        <v>97</v>
      </c>
      <c r="C190" s="43" t="s">
        <v>98</v>
      </c>
      <c r="D190" s="43" t="s">
        <v>662</v>
      </c>
      <c r="E190" s="43" t="s">
        <v>464</v>
      </c>
      <c r="F190" s="43" t="s">
        <v>663</v>
      </c>
      <c r="G190" s="43" t="s">
        <v>664</v>
      </c>
      <c r="H190" s="43"/>
      <c r="I190" s="44" t="s">
        <v>103</v>
      </c>
      <c r="J190" s="9"/>
      <c r="K190" s="9"/>
      <c r="L190" s="9"/>
      <c r="M190" s="47" t="str">
        <f t="shared" si="2"/>
        <v>not answered/error</v>
      </c>
      <c r="N190" s="43"/>
      <c r="O190" s="43"/>
      <c r="P190" s="43"/>
      <c r="Q190" s="10"/>
      <c r="R190" s="10"/>
      <c r="S190" s="10"/>
      <c r="T190" s="10"/>
      <c r="U190" s="10"/>
      <c r="V190" s="10"/>
      <c r="W190" s="10"/>
      <c r="X190" s="10"/>
      <c r="Y190" s="10"/>
      <c r="Z190" s="10"/>
      <c r="AA190" s="10"/>
      <c r="AB190" s="10"/>
    </row>
    <row r="191" spans="1:28" ht="115.2" x14ac:dyDescent="0.3">
      <c r="A191" s="43" t="s">
        <v>96</v>
      </c>
      <c r="B191" s="43" t="s">
        <v>97</v>
      </c>
      <c r="C191" s="43" t="s">
        <v>98</v>
      </c>
      <c r="D191" s="43" t="s">
        <v>665</v>
      </c>
      <c r="E191" s="43" t="s">
        <v>464</v>
      </c>
      <c r="F191" s="43" t="s">
        <v>666</v>
      </c>
      <c r="G191" s="43" t="s">
        <v>667</v>
      </c>
      <c r="H191" s="43"/>
      <c r="I191" s="44" t="s">
        <v>103</v>
      </c>
      <c r="J191" s="10"/>
      <c r="K191" s="10"/>
      <c r="L191" s="10"/>
      <c r="M191" s="47" t="str">
        <f t="shared" si="2"/>
        <v>not answered/error</v>
      </c>
      <c r="N191" s="43"/>
      <c r="O191" s="43"/>
      <c r="P191" s="43"/>
      <c r="Q191" s="10" t="s">
        <v>1135</v>
      </c>
      <c r="R191" s="10"/>
      <c r="S191" s="10"/>
      <c r="T191" s="10"/>
      <c r="U191" s="10"/>
      <c r="V191" s="10"/>
      <c r="W191" s="10"/>
      <c r="X191" s="10"/>
      <c r="Y191" s="10"/>
      <c r="Z191" s="10"/>
      <c r="AA191" s="10"/>
      <c r="AB191" s="10"/>
    </row>
    <row r="192" spans="1:28" ht="72" x14ac:dyDescent="0.3">
      <c r="A192" s="43" t="s">
        <v>96</v>
      </c>
      <c r="B192" s="43" t="s">
        <v>97</v>
      </c>
      <c r="C192" s="43" t="s">
        <v>98</v>
      </c>
      <c r="D192" s="43" t="s">
        <v>668</v>
      </c>
      <c r="E192" s="43" t="s">
        <v>464</v>
      </c>
      <c r="F192" s="43" t="s">
        <v>669</v>
      </c>
      <c r="G192" s="43" t="s">
        <v>670</v>
      </c>
      <c r="H192" s="43"/>
      <c r="I192" s="44" t="s">
        <v>103</v>
      </c>
      <c r="J192" s="10"/>
      <c r="K192" s="10"/>
      <c r="L192" s="10"/>
      <c r="M192" s="47" t="str">
        <f t="shared" si="2"/>
        <v>not answered/error</v>
      </c>
      <c r="N192" s="43"/>
      <c r="O192" s="43"/>
      <c r="P192" s="43"/>
      <c r="Q192" s="10"/>
      <c r="R192" s="10"/>
      <c r="S192" s="10"/>
      <c r="T192" s="10"/>
      <c r="U192" s="10"/>
      <c r="V192" s="10"/>
      <c r="W192" s="10"/>
      <c r="X192" s="10"/>
      <c r="Y192" s="10"/>
      <c r="Z192" s="10"/>
      <c r="AA192" s="10"/>
      <c r="AB192" s="10"/>
    </row>
    <row r="193" spans="1:28" ht="172.8" x14ac:dyDescent="0.3">
      <c r="A193" s="43" t="s">
        <v>96</v>
      </c>
      <c r="B193" s="43" t="s">
        <v>97</v>
      </c>
      <c r="C193" s="43" t="s">
        <v>98</v>
      </c>
      <c r="D193" s="43" t="s">
        <v>671</v>
      </c>
      <c r="E193" s="43" t="s">
        <v>464</v>
      </c>
      <c r="F193" s="43" t="s">
        <v>672</v>
      </c>
      <c r="G193" s="43" t="s">
        <v>673</v>
      </c>
      <c r="H193" s="43"/>
      <c r="I193" s="45" t="s">
        <v>203</v>
      </c>
      <c r="J193" s="10"/>
      <c r="K193" s="10"/>
      <c r="L193" s="10"/>
      <c r="M193" s="47" t="str">
        <f t="shared" si="2"/>
        <v>not answered/error</v>
      </c>
      <c r="N193" s="43"/>
      <c r="O193" s="43"/>
      <c r="P193" s="43"/>
      <c r="Q193" s="10" t="s">
        <v>1136</v>
      </c>
      <c r="R193" s="10"/>
      <c r="S193" s="10"/>
      <c r="T193" s="10"/>
      <c r="U193" s="10"/>
      <c r="V193" s="10"/>
      <c r="W193" s="10"/>
      <c r="X193" s="10"/>
      <c r="Y193" s="10"/>
      <c r="Z193" s="10"/>
      <c r="AA193" s="10"/>
      <c r="AB193" s="10"/>
    </row>
    <row r="194" spans="1:28" ht="115.2" x14ac:dyDescent="0.3">
      <c r="A194" s="43" t="s">
        <v>96</v>
      </c>
      <c r="B194" s="43" t="s">
        <v>97</v>
      </c>
      <c r="C194" s="43" t="s">
        <v>98</v>
      </c>
      <c r="D194" s="43" t="s">
        <v>674</v>
      </c>
      <c r="E194" s="43" t="s">
        <v>464</v>
      </c>
      <c r="F194" s="43" t="s">
        <v>675</v>
      </c>
      <c r="G194" s="43" t="s">
        <v>676</v>
      </c>
      <c r="H194" s="43"/>
      <c r="I194" s="44" t="s">
        <v>103</v>
      </c>
      <c r="J194" s="10"/>
      <c r="K194" s="10"/>
      <c r="L194" s="10"/>
      <c r="M194" s="47" t="str">
        <f t="shared" si="2"/>
        <v>not answered/error</v>
      </c>
      <c r="N194" s="43"/>
      <c r="O194" s="43"/>
      <c r="P194" s="43"/>
      <c r="Q194" s="10" t="s">
        <v>1006</v>
      </c>
      <c r="R194" s="10"/>
      <c r="S194" s="10"/>
      <c r="T194" s="10"/>
      <c r="U194" s="10"/>
      <c r="V194" s="10"/>
      <c r="W194" s="10"/>
      <c r="X194" s="10"/>
      <c r="Y194" s="10"/>
      <c r="Z194" s="10"/>
      <c r="AA194" s="10"/>
      <c r="AB194" s="10"/>
    </row>
    <row r="195" spans="1:28" ht="100.8" x14ac:dyDescent="0.3">
      <c r="A195" s="43" t="s">
        <v>96</v>
      </c>
      <c r="B195" s="43" t="s">
        <v>97</v>
      </c>
      <c r="C195" s="43" t="s">
        <v>98</v>
      </c>
      <c r="D195" s="43" t="s">
        <v>677</v>
      </c>
      <c r="E195" s="43" t="s">
        <v>464</v>
      </c>
      <c r="F195" s="43" t="s">
        <v>678</v>
      </c>
      <c r="G195" s="43" t="s">
        <v>679</v>
      </c>
      <c r="H195" s="43"/>
      <c r="I195" s="44" t="s">
        <v>103</v>
      </c>
      <c r="J195" s="10"/>
      <c r="K195" s="10"/>
      <c r="L195" s="10"/>
      <c r="M195" s="47" t="str">
        <f t="shared" si="2"/>
        <v>not answered/error</v>
      </c>
      <c r="N195" s="43"/>
      <c r="O195" s="43"/>
      <c r="P195" s="43"/>
      <c r="Q195" s="10" t="s">
        <v>1137</v>
      </c>
      <c r="R195" s="10"/>
      <c r="S195" s="10"/>
      <c r="T195" s="10"/>
      <c r="U195" s="10"/>
      <c r="V195" s="10"/>
      <c r="W195" s="10"/>
      <c r="X195" s="10"/>
      <c r="Y195" s="10"/>
      <c r="Z195" s="10"/>
      <c r="AA195" s="10"/>
      <c r="AB195" s="10"/>
    </row>
    <row r="196" spans="1:28" ht="129.6" x14ac:dyDescent="0.3">
      <c r="A196" s="43" t="s">
        <v>96</v>
      </c>
      <c r="B196" s="43" t="s">
        <v>97</v>
      </c>
      <c r="C196" s="43" t="s">
        <v>98</v>
      </c>
      <c r="D196" s="43" t="s">
        <v>680</v>
      </c>
      <c r="E196" s="43" t="s">
        <v>464</v>
      </c>
      <c r="F196" s="43" t="s">
        <v>681</v>
      </c>
      <c r="G196" s="43" t="s">
        <v>682</v>
      </c>
      <c r="H196" s="43"/>
      <c r="I196" s="45" t="s">
        <v>203</v>
      </c>
      <c r="J196" s="10"/>
      <c r="K196" s="10"/>
      <c r="L196" s="10"/>
      <c r="M196" s="47" t="str">
        <f t="shared" si="2"/>
        <v>not answered/error</v>
      </c>
      <c r="N196" s="43"/>
      <c r="O196" s="43"/>
      <c r="P196" s="43"/>
      <c r="Q196" s="10" t="s">
        <v>1138</v>
      </c>
      <c r="R196" s="10"/>
      <c r="S196" s="10"/>
      <c r="T196" s="10"/>
      <c r="U196" s="10"/>
      <c r="V196" s="10"/>
      <c r="W196" s="10"/>
      <c r="X196" s="10"/>
      <c r="Y196" s="10"/>
      <c r="Z196" s="10"/>
      <c r="AA196" s="10"/>
      <c r="AB196" s="10"/>
    </row>
    <row r="197" spans="1:28" ht="273.60000000000002" x14ac:dyDescent="0.3">
      <c r="A197" s="43" t="s">
        <v>96</v>
      </c>
      <c r="B197" s="43" t="s">
        <v>97</v>
      </c>
      <c r="C197" s="43" t="s">
        <v>98</v>
      </c>
      <c r="D197" s="43" t="s">
        <v>683</v>
      </c>
      <c r="E197" s="43" t="s">
        <v>684</v>
      </c>
      <c r="F197" s="43" t="s">
        <v>685</v>
      </c>
      <c r="G197" s="43" t="s">
        <v>686</v>
      </c>
      <c r="H197" s="43"/>
      <c r="I197" s="44" t="s">
        <v>103</v>
      </c>
      <c r="J197" s="9"/>
      <c r="K197" s="9"/>
      <c r="L197" s="9"/>
      <c r="M197" s="47" t="str">
        <f t="shared" si="2"/>
        <v>not answered/error</v>
      </c>
      <c r="N197" s="43"/>
      <c r="O197" s="43"/>
      <c r="P197" s="43"/>
      <c r="Q197" s="10" t="s">
        <v>1139</v>
      </c>
      <c r="R197" s="10"/>
      <c r="S197" s="10"/>
      <c r="T197" s="10"/>
      <c r="U197" s="10"/>
      <c r="V197" s="10"/>
      <c r="W197" s="10"/>
      <c r="X197" s="10"/>
      <c r="Y197" s="10"/>
      <c r="Z197" s="10"/>
      <c r="AA197" s="10"/>
      <c r="AB197" s="10"/>
    </row>
    <row r="198" spans="1:28" ht="201.6" x14ac:dyDescent="0.3">
      <c r="A198" s="43" t="s">
        <v>96</v>
      </c>
      <c r="B198" s="43" t="s">
        <v>97</v>
      </c>
      <c r="C198" s="43" t="s">
        <v>98</v>
      </c>
      <c r="D198" s="43" t="s">
        <v>687</v>
      </c>
      <c r="E198" s="43" t="s">
        <v>684</v>
      </c>
      <c r="F198" s="43" t="s">
        <v>688</v>
      </c>
      <c r="G198" s="43" t="s">
        <v>689</v>
      </c>
      <c r="H198" s="43"/>
      <c r="I198" s="44" t="s">
        <v>103</v>
      </c>
      <c r="J198" s="10"/>
      <c r="K198" s="10"/>
      <c r="L198" s="10"/>
      <c r="M198" s="47" t="str">
        <f t="shared" si="2"/>
        <v>not answered/error</v>
      </c>
      <c r="N198" s="43"/>
      <c r="O198" s="43"/>
      <c r="P198" s="43"/>
      <c r="Q198" s="10" t="s">
        <v>1140</v>
      </c>
      <c r="R198" s="10"/>
      <c r="S198" s="10"/>
      <c r="T198" s="10"/>
      <c r="U198" s="10"/>
      <c r="V198" s="10"/>
      <c r="W198" s="10"/>
      <c r="X198" s="10"/>
      <c r="Y198" s="10"/>
      <c r="Z198" s="10"/>
      <c r="AA198" s="10"/>
      <c r="AB198" s="10"/>
    </row>
    <row r="199" spans="1:28" ht="115.2" x14ac:dyDescent="0.3">
      <c r="A199" s="43" t="s">
        <v>96</v>
      </c>
      <c r="B199" s="43" t="s">
        <v>97</v>
      </c>
      <c r="C199" s="43" t="s">
        <v>98</v>
      </c>
      <c r="D199" s="43" t="s">
        <v>690</v>
      </c>
      <c r="E199" s="43" t="s">
        <v>684</v>
      </c>
      <c r="F199" s="43" t="s">
        <v>691</v>
      </c>
      <c r="G199" s="43" t="s">
        <v>692</v>
      </c>
      <c r="H199" s="43"/>
      <c r="I199" s="44" t="s">
        <v>103</v>
      </c>
      <c r="J199" s="9"/>
      <c r="K199" s="9"/>
      <c r="L199" s="9"/>
      <c r="M199" s="47" t="str">
        <f t="shared" si="2"/>
        <v>not answered/error</v>
      </c>
      <c r="N199" s="43"/>
      <c r="O199" s="43"/>
      <c r="P199" s="43"/>
      <c r="Q199" s="10" t="s">
        <v>1141</v>
      </c>
      <c r="R199" s="10"/>
      <c r="S199" s="10"/>
      <c r="T199" s="10"/>
      <c r="U199" s="10"/>
      <c r="V199" s="10"/>
      <c r="W199" s="10"/>
      <c r="X199" s="10"/>
      <c r="Y199" s="10"/>
      <c r="Z199" s="10"/>
      <c r="AA199" s="10"/>
      <c r="AB199" s="10"/>
    </row>
    <row r="200" spans="1:28" ht="43.2" x14ac:dyDescent="0.3">
      <c r="A200" s="43" t="s">
        <v>96</v>
      </c>
      <c r="B200" s="43" t="s">
        <v>97</v>
      </c>
      <c r="C200" s="43" t="s">
        <v>98</v>
      </c>
      <c r="D200" s="43" t="s">
        <v>693</v>
      </c>
      <c r="E200" s="43" t="s">
        <v>694</v>
      </c>
      <c r="F200" s="43" t="s">
        <v>695</v>
      </c>
      <c r="G200" s="43" t="s">
        <v>696</v>
      </c>
      <c r="H200" s="43"/>
      <c r="I200" s="44" t="s">
        <v>103</v>
      </c>
      <c r="J200" s="10"/>
      <c r="K200" s="10"/>
      <c r="L200" s="10"/>
      <c r="M200" s="47" t="str">
        <f t="shared" si="2"/>
        <v>not answered/error</v>
      </c>
      <c r="N200" s="43"/>
      <c r="O200" s="43"/>
      <c r="P200" s="43"/>
      <c r="Q200" s="10" t="s">
        <v>1142</v>
      </c>
      <c r="R200" s="10"/>
      <c r="S200" s="10"/>
      <c r="T200" s="10"/>
      <c r="U200" s="10"/>
      <c r="V200" s="10"/>
      <c r="W200" s="10"/>
      <c r="X200" s="10"/>
      <c r="Y200" s="10"/>
      <c r="Z200" s="10"/>
      <c r="AA200" s="10"/>
      <c r="AB200" s="10"/>
    </row>
    <row r="201" spans="1:28" ht="409.6" x14ac:dyDescent="0.3">
      <c r="A201" s="43" t="s">
        <v>96</v>
      </c>
      <c r="B201" s="43" t="s">
        <v>97</v>
      </c>
      <c r="C201" s="43" t="s">
        <v>98</v>
      </c>
      <c r="D201" s="43" t="s">
        <v>697</v>
      </c>
      <c r="E201" s="43" t="s">
        <v>694</v>
      </c>
      <c r="F201" s="43" t="s">
        <v>698</v>
      </c>
      <c r="G201" s="43" t="s">
        <v>699</v>
      </c>
      <c r="H201" s="43"/>
      <c r="I201" s="44" t="s">
        <v>103</v>
      </c>
      <c r="J201" s="10"/>
      <c r="K201" s="10"/>
      <c r="L201" s="10"/>
      <c r="M201" s="47" t="str">
        <f t="shared" si="2"/>
        <v>not answered/error</v>
      </c>
      <c r="N201" s="43"/>
      <c r="O201" s="43"/>
      <c r="P201" s="43"/>
      <c r="Q201" s="10" t="s">
        <v>1143</v>
      </c>
      <c r="R201" s="10"/>
      <c r="S201" s="10"/>
      <c r="T201" s="10"/>
      <c r="U201" s="10"/>
      <c r="V201" s="10"/>
      <c r="W201" s="10"/>
      <c r="X201" s="10"/>
      <c r="Y201" s="10"/>
      <c r="Z201" s="10"/>
      <c r="AA201" s="10"/>
      <c r="AB201" s="10"/>
    </row>
    <row r="202" spans="1:28" ht="144" x14ac:dyDescent="0.3">
      <c r="A202" s="43" t="s">
        <v>96</v>
      </c>
      <c r="B202" s="43" t="s">
        <v>97</v>
      </c>
      <c r="C202" s="43" t="s">
        <v>98</v>
      </c>
      <c r="D202" s="43" t="s">
        <v>700</v>
      </c>
      <c r="E202" s="43" t="s">
        <v>694</v>
      </c>
      <c r="F202" s="43" t="s">
        <v>701</v>
      </c>
      <c r="G202" s="43" t="s">
        <v>702</v>
      </c>
      <c r="H202" s="43"/>
      <c r="I202" s="44" t="s">
        <v>103</v>
      </c>
      <c r="J202" s="10"/>
      <c r="K202" s="10"/>
      <c r="L202" s="10"/>
      <c r="M202" s="47" t="str">
        <f t="shared" ref="M202:M265" si="3">IF(AND(J202&lt;&gt;"",ISBLANK(K202),ISBLANK(L202)),"Yes",IF(AND(K202&lt;&gt;"",ISBLANK(J202),ISBLANK(L202)),"No",IF(AND(L202&lt;&gt;"",ISBLANK(J202),ISBLANK(K202)),"N/A","not answered/error")))</f>
        <v>not answered/error</v>
      </c>
      <c r="N202" s="43"/>
      <c r="O202" s="43"/>
      <c r="P202" s="43"/>
      <c r="Q202" s="10" t="s">
        <v>1144</v>
      </c>
      <c r="R202" s="10"/>
      <c r="S202" s="10"/>
      <c r="T202" s="10"/>
      <c r="U202" s="10"/>
      <c r="V202" s="10"/>
      <c r="W202" s="10"/>
      <c r="X202" s="10"/>
      <c r="Y202" s="10"/>
      <c r="Z202" s="10"/>
      <c r="AA202" s="10"/>
      <c r="AB202" s="10"/>
    </row>
    <row r="203" spans="1:28" ht="172.8" x14ac:dyDescent="0.3">
      <c r="A203" s="43" t="s">
        <v>96</v>
      </c>
      <c r="B203" s="43" t="s">
        <v>97</v>
      </c>
      <c r="C203" s="43" t="s">
        <v>98</v>
      </c>
      <c r="D203" s="43" t="s">
        <v>703</v>
      </c>
      <c r="E203" s="43" t="s">
        <v>694</v>
      </c>
      <c r="F203" s="43" t="s">
        <v>704</v>
      </c>
      <c r="G203" s="43" t="s">
        <v>705</v>
      </c>
      <c r="H203" s="43"/>
      <c r="I203" s="44" t="s">
        <v>103</v>
      </c>
      <c r="J203" s="10"/>
      <c r="K203" s="10"/>
      <c r="L203" s="10"/>
      <c r="M203" s="47" t="str">
        <f t="shared" si="3"/>
        <v>not answered/error</v>
      </c>
      <c r="N203" s="43"/>
      <c r="O203" s="43"/>
      <c r="P203" s="43"/>
      <c r="Q203" s="10" t="s">
        <v>1145</v>
      </c>
      <c r="R203" s="10"/>
      <c r="S203" s="10"/>
      <c r="T203" s="10"/>
      <c r="U203" s="10"/>
      <c r="V203" s="10"/>
      <c r="W203" s="10"/>
      <c r="X203" s="10"/>
      <c r="Y203" s="10"/>
      <c r="Z203" s="10"/>
      <c r="AA203" s="10"/>
      <c r="AB203" s="10"/>
    </row>
    <row r="204" spans="1:28" ht="57.6" x14ac:dyDescent="0.3">
      <c r="A204" s="43" t="s">
        <v>96</v>
      </c>
      <c r="B204" s="43" t="s">
        <v>97</v>
      </c>
      <c r="C204" s="43" t="s">
        <v>98</v>
      </c>
      <c r="D204" s="43" t="s">
        <v>706</v>
      </c>
      <c r="E204" s="43" t="s">
        <v>694</v>
      </c>
      <c r="F204" s="43" t="s">
        <v>707</v>
      </c>
      <c r="G204" s="43" t="s">
        <v>708</v>
      </c>
      <c r="H204" s="43"/>
      <c r="I204" s="44" t="s">
        <v>103</v>
      </c>
      <c r="J204" s="10"/>
      <c r="K204" s="10"/>
      <c r="L204" s="10"/>
      <c r="M204" s="47" t="str">
        <f t="shared" si="3"/>
        <v>not answered/error</v>
      </c>
      <c r="N204" s="43"/>
      <c r="O204" s="43"/>
      <c r="P204" s="43"/>
      <c r="Q204" s="10" t="s">
        <v>1146</v>
      </c>
      <c r="R204" s="10"/>
      <c r="S204" s="10"/>
      <c r="T204" s="10"/>
      <c r="U204" s="10"/>
      <c r="V204" s="10"/>
      <c r="W204" s="10"/>
      <c r="X204" s="10"/>
      <c r="Y204" s="10"/>
      <c r="Z204" s="10"/>
      <c r="AA204" s="10"/>
      <c r="AB204" s="10"/>
    </row>
    <row r="205" spans="1:28" ht="72" x14ac:dyDescent="0.3">
      <c r="A205" s="43" t="s">
        <v>96</v>
      </c>
      <c r="B205" s="43" t="s">
        <v>97</v>
      </c>
      <c r="C205" s="43" t="s">
        <v>98</v>
      </c>
      <c r="D205" s="43" t="s">
        <v>709</v>
      </c>
      <c r="E205" s="43" t="s">
        <v>694</v>
      </c>
      <c r="F205" s="43" t="s">
        <v>710</v>
      </c>
      <c r="G205" s="43" t="s">
        <v>711</v>
      </c>
      <c r="H205" s="43"/>
      <c r="I205" s="44" t="s">
        <v>103</v>
      </c>
      <c r="J205" s="10"/>
      <c r="K205" s="10"/>
      <c r="L205" s="10"/>
      <c r="M205" s="47" t="str">
        <f t="shared" si="3"/>
        <v>not answered/error</v>
      </c>
      <c r="N205" s="43"/>
      <c r="O205" s="43"/>
      <c r="P205" s="43"/>
      <c r="Q205" s="10" t="s">
        <v>1146</v>
      </c>
      <c r="R205" s="10"/>
      <c r="S205" s="10"/>
      <c r="T205" s="10"/>
      <c r="U205" s="10"/>
      <c r="V205" s="10"/>
      <c r="W205" s="10"/>
      <c r="X205" s="10"/>
      <c r="Y205" s="10"/>
      <c r="Z205" s="10"/>
      <c r="AA205" s="10"/>
      <c r="AB205" s="10"/>
    </row>
    <row r="206" spans="1:28" ht="216" x14ac:dyDescent="0.3">
      <c r="A206" s="43" t="s">
        <v>96</v>
      </c>
      <c r="B206" s="43" t="s">
        <v>97</v>
      </c>
      <c r="C206" s="43" t="s">
        <v>98</v>
      </c>
      <c r="D206" s="43" t="s">
        <v>712</v>
      </c>
      <c r="E206" s="43" t="s">
        <v>694</v>
      </c>
      <c r="F206" s="43" t="s">
        <v>713</v>
      </c>
      <c r="G206" s="43" t="s">
        <v>714</v>
      </c>
      <c r="H206" s="43"/>
      <c r="I206" s="44" t="s">
        <v>103</v>
      </c>
      <c r="J206" s="10"/>
      <c r="K206" s="10"/>
      <c r="L206" s="10"/>
      <c r="M206" s="47" t="str">
        <f t="shared" si="3"/>
        <v>not answered/error</v>
      </c>
      <c r="N206" s="43"/>
      <c r="O206" s="43"/>
      <c r="P206" s="43"/>
      <c r="Q206" s="10" t="s">
        <v>1147</v>
      </c>
      <c r="R206" s="10"/>
      <c r="S206" s="10"/>
      <c r="T206" s="10"/>
      <c r="U206" s="10"/>
      <c r="V206" s="10"/>
      <c r="W206" s="10"/>
      <c r="X206" s="10"/>
      <c r="Y206" s="10"/>
      <c r="Z206" s="10"/>
      <c r="AA206" s="10"/>
      <c r="AB206" s="10"/>
    </row>
    <row r="207" spans="1:28" ht="72" x14ac:dyDescent="0.3">
      <c r="A207" s="43" t="s">
        <v>96</v>
      </c>
      <c r="B207" s="43" t="s">
        <v>97</v>
      </c>
      <c r="C207" s="43" t="s">
        <v>98</v>
      </c>
      <c r="D207" s="43" t="s">
        <v>715</v>
      </c>
      <c r="E207" s="43" t="s">
        <v>694</v>
      </c>
      <c r="F207" s="43" t="s">
        <v>716</v>
      </c>
      <c r="G207" s="43" t="s">
        <v>717</v>
      </c>
      <c r="H207" s="43"/>
      <c r="I207" s="44" t="s">
        <v>103</v>
      </c>
      <c r="J207" s="10"/>
      <c r="K207" s="10"/>
      <c r="L207" s="10"/>
      <c r="M207" s="47" t="str">
        <f t="shared" si="3"/>
        <v>not answered/error</v>
      </c>
      <c r="N207" s="43"/>
      <c r="O207" s="43"/>
      <c r="P207" s="43"/>
      <c r="Q207" s="10"/>
      <c r="R207" s="10"/>
      <c r="S207" s="10"/>
      <c r="T207" s="10"/>
      <c r="U207" s="10"/>
      <c r="V207" s="10"/>
      <c r="W207" s="10"/>
      <c r="X207" s="10"/>
      <c r="Y207" s="10"/>
      <c r="Z207" s="10"/>
      <c r="AA207" s="10"/>
      <c r="AB207" s="10"/>
    </row>
    <row r="208" spans="1:28" ht="187.2" x14ac:dyDescent="0.3">
      <c r="A208" s="43" t="s">
        <v>96</v>
      </c>
      <c r="B208" s="43" t="s">
        <v>97</v>
      </c>
      <c r="C208" s="43" t="s">
        <v>98</v>
      </c>
      <c r="D208" s="43" t="s">
        <v>718</v>
      </c>
      <c r="E208" s="43" t="s">
        <v>694</v>
      </c>
      <c r="F208" s="43" t="s">
        <v>719</v>
      </c>
      <c r="G208" s="43" t="s">
        <v>720</v>
      </c>
      <c r="H208" s="43"/>
      <c r="I208" s="44" t="s">
        <v>103</v>
      </c>
      <c r="J208" s="10"/>
      <c r="K208" s="10"/>
      <c r="L208" s="10"/>
      <c r="M208" s="47" t="str">
        <f t="shared" si="3"/>
        <v>not answered/error</v>
      </c>
      <c r="N208" s="43"/>
      <c r="O208" s="43"/>
      <c r="P208" s="43"/>
      <c r="Q208" s="10" t="s">
        <v>1148</v>
      </c>
      <c r="R208" s="10"/>
      <c r="S208" s="10"/>
      <c r="T208" s="10"/>
      <c r="U208" s="10"/>
      <c r="V208" s="10"/>
      <c r="W208" s="10"/>
      <c r="X208" s="10"/>
      <c r="Y208" s="10"/>
      <c r="Z208" s="10"/>
      <c r="AA208" s="10"/>
      <c r="AB208" s="10"/>
    </row>
    <row r="209" spans="1:28" ht="129.6" x14ac:dyDescent="0.3">
      <c r="A209" s="43" t="s">
        <v>96</v>
      </c>
      <c r="B209" s="43" t="s">
        <v>97</v>
      </c>
      <c r="C209" s="43" t="s">
        <v>98</v>
      </c>
      <c r="D209" s="43" t="s">
        <v>721</v>
      </c>
      <c r="E209" s="43" t="s">
        <v>694</v>
      </c>
      <c r="F209" s="43" t="s">
        <v>722</v>
      </c>
      <c r="G209" s="43" t="s">
        <v>723</v>
      </c>
      <c r="H209" s="43"/>
      <c r="I209" s="44" t="s">
        <v>103</v>
      </c>
      <c r="J209" s="10"/>
      <c r="K209" s="10"/>
      <c r="L209" s="10"/>
      <c r="M209" s="47" t="str">
        <f t="shared" si="3"/>
        <v>not answered/error</v>
      </c>
      <c r="N209" s="43"/>
      <c r="O209" s="43"/>
      <c r="P209" s="43"/>
      <c r="Q209" s="10" t="s">
        <v>1149</v>
      </c>
      <c r="R209" s="10"/>
      <c r="S209" s="10"/>
      <c r="T209" s="10"/>
      <c r="U209" s="10"/>
      <c r="V209" s="10"/>
      <c r="W209" s="10"/>
      <c r="X209" s="10"/>
      <c r="Y209" s="10"/>
      <c r="Z209" s="10"/>
      <c r="AA209" s="10"/>
      <c r="AB209" s="10"/>
    </row>
    <row r="210" spans="1:28" ht="43.2" x14ac:dyDescent="0.3">
      <c r="A210" s="43" t="s">
        <v>96</v>
      </c>
      <c r="B210" s="43" t="s">
        <v>97</v>
      </c>
      <c r="C210" s="43" t="s">
        <v>98</v>
      </c>
      <c r="D210" s="43" t="s">
        <v>724</v>
      </c>
      <c r="E210" s="43" t="s">
        <v>694</v>
      </c>
      <c r="F210" s="43" t="s">
        <v>725</v>
      </c>
      <c r="G210" s="43" t="s">
        <v>726</v>
      </c>
      <c r="H210" s="43"/>
      <c r="I210" s="44" t="s">
        <v>103</v>
      </c>
      <c r="J210" s="10"/>
      <c r="K210" s="10"/>
      <c r="L210" s="10"/>
      <c r="M210" s="47" t="str">
        <f t="shared" si="3"/>
        <v>not answered/error</v>
      </c>
      <c r="N210" s="43"/>
      <c r="O210" s="43"/>
      <c r="P210" s="43"/>
      <c r="Q210" s="10"/>
      <c r="R210" s="10"/>
      <c r="S210" s="10"/>
      <c r="T210" s="10"/>
      <c r="U210" s="10"/>
      <c r="V210" s="10"/>
      <c r="W210" s="10"/>
      <c r="X210" s="10"/>
      <c r="Y210" s="10"/>
      <c r="Z210" s="10"/>
      <c r="AA210" s="10"/>
      <c r="AB210" s="10"/>
    </row>
    <row r="211" spans="1:28" ht="115.2" x14ac:dyDescent="0.3">
      <c r="A211" s="43" t="s">
        <v>96</v>
      </c>
      <c r="B211" s="43" t="s">
        <v>97</v>
      </c>
      <c r="C211" s="43" t="s">
        <v>98</v>
      </c>
      <c r="D211" s="43" t="s">
        <v>727</v>
      </c>
      <c r="E211" s="43" t="s">
        <v>694</v>
      </c>
      <c r="F211" s="43" t="s">
        <v>728</v>
      </c>
      <c r="G211" s="43" t="s">
        <v>729</v>
      </c>
      <c r="H211" s="43"/>
      <c r="I211" s="44" t="s">
        <v>103</v>
      </c>
      <c r="J211" s="10"/>
      <c r="K211" s="10"/>
      <c r="L211" s="10"/>
      <c r="M211" s="47" t="str">
        <f t="shared" si="3"/>
        <v>not answered/error</v>
      </c>
      <c r="N211" s="43"/>
      <c r="O211" s="43"/>
      <c r="P211" s="43"/>
      <c r="Q211" s="10" t="s">
        <v>1150</v>
      </c>
      <c r="R211" s="10"/>
      <c r="S211" s="10"/>
      <c r="T211" s="10"/>
      <c r="U211" s="10"/>
      <c r="V211" s="10"/>
      <c r="W211" s="10"/>
      <c r="X211" s="10"/>
      <c r="Y211" s="10"/>
      <c r="Z211" s="10"/>
      <c r="AA211" s="10"/>
      <c r="AB211" s="10"/>
    </row>
    <row r="212" spans="1:28" ht="187.2" x14ac:dyDescent="0.3">
      <c r="A212" s="43" t="s">
        <v>96</v>
      </c>
      <c r="B212" s="43" t="s">
        <v>97</v>
      </c>
      <c r="C212" s="43" t="s">
        <v>98</v>
      </c>
      <c r="D212" s="43" t="s">
        <v>730</v>
      </c>
      <c r="E212" s="43" t="s">
        <v>694</v>
      </c>
      <c r="F212" s="43" t="s">
        <v>731</v>
      </c>
      <c r="G212" s="43" t="s">
        <v>732</v>
      </c>
      <c r="H212" s="43"/>
      <c r="I212" s="44" t="s">
        <v>103</v>
      </c>
      <c r="J212" s="10"/>
      <c r="K212" s="10"/>
      <c r="L212" s="10"/>
      <c r="M212" s="47" t="str">
        <f t="shared" si="3"/>
        <v>not answered/error</v>
      </c>
      <c r="N212" s="43"/>
      <c r="O212" s="43"/>
      <c r="P212" s="43"/>
      <c r="Q212" s="10" t="s">
        <v>1151</v>
      </c>
      <c r="R212" s="10"/>
      <c r="S212" s="10"/>
      <c r="T212" s="10"/>
      <c r="U212" s="10"/>
      <c r="V212" s="10"/>
      <c r="W212" s="10"/>
      <c r="X212" s="10"/>
      <c r="Y212" s="10"/>
      <c r="Z212" s="10"/>
      <c r="AA212" s="10"/>
      <c r="AB212" s="10"/>
    </row>
    <row r="213" spans="1:28" ht="57.6" x14ac:dyDescent="0.3">
      <c r="A213" s="43" t="s">
        <v>96</v>
      </c>
      <c r="B213" s="43" t="s">
        <v>97</v>
      </c>
      <c r="C213" s="43" t="s">
        <v>98</v>
      </c>
      <c r="D213" s="43" t="s">
        <v>733</v>
      </c>
      <c r="E213" s="43" t="s">
        <v>694</v>
      </c>
      <c r="F213" s="43" t="s">
        <v>734</v>
      </c>
      <c r="G213" s="43" t="s">
        <v>735</v>
      </c>
      <c r="H213" s="43"/>
      <c r="I213" s="44" t="s">
        <v>103</v>
      </c>
      <c r="J213" s="10"/>
      <c r="K213" s="10"/>
      <c r="L213" s="10"/>
      <c r="M213" s="47" t="str">
        <f t="shared" si="3"/>
        <v>not answered/error</v>
      </c>
      <c r="N213" s="43"/>
      <c r="O213" s="43"/>
      <c r="P213" s="43"/>
      <c r="Q213" s="10"/>
      <c r="R213" s="10"/>
      <c r="S213" s="10"/>
      <c r="T213" s="10"/>
      <c r="U213" s="10"/>
      <c r="V213" s="10"/>
      <c r="W213" s="10"/>
      <c r="X213" s="10"/>
      <c r="Y213" s="10"/>
      <c r="Z213" s="10"/>
      <c r="AA213" s="10"/>
      <c r="AB213" s="10"/>
    </row>
    <row r="214" spans="1:28" ht="86.4" x14ac:dyDescent="0.3">
      <c r="A214" s="43" t="s">
        <v>96</v>
      </c>
      <c r="B214" s="43" t="s">
        <v>97</v>
      </c>
      <c r="C214" s="43" t="s">
        <v>98</v>
      </c>
      <c r="D214" s="43" t="s">
        <v>736</v>
      </c>
      <c r="E214" s="43" t="s">
        <v>737</v>
      </c>
      <c r="F214" s="43" t="s">
        <v>738</v>
      </c>
      <c r="G214" s="43" t="s">
        <v>739</v>
      </c>
      <c r="H214" s="43"/>
      <c r="I214" s="44" t="s">
        <v>103</v>
      </c>
      <c r="J214" s="9"/>
      <c r="K214" s="9"/>
      <c r="L214" s="9"/>
      <c r="M214" s="47" t="str">
        <f t="shared" si="3"/>
        <v>not answered/error</v>
      </c>
      <c r="N214" s="43"/>
      <c r="O214" s="43"/>
      <c r="P214" s="43"/>
      <c r="Q214" s="10" t="s">
        <v>1152</v>
      </c>
      <c r="R214" s="10"/>
      <c r="S214" s="10"/>
      <c r="T214" s="10"/>
      <c r="U214" s="10"/>
      <c r="V214" s="10"/>
      <c r="W214" s="10"/>
      <c r="X214" s="10"/>
      <c r="Y214" s="10"/>
      <c r="Z214" s="10"/>
      <c r="AA214" s="10"/>
      <c r="AB214" s="10"/>
    </row>
    <row r="215" spans="1:28" ht="72" x14ac:dyDescent="0.3">
      <c r="A215" s="43" t="s">
        <v>96</v>
      </c>
      <c r="B215" s="43" t="s">
        <v>97</v>
      </c>
      <c r="C215" s="43" t="s">
        <v>98</v>
      </c>
      <c r="D215" s="43" t="s">
        <v>740</v>
      </c>
      <c r="E215" s="43" t="s">
        <v>741</v>
      </c>
      <c r="F215" s="43" t="s">
        <v>742</v>
      </c>
      <c r="G215" s="43" t="s">
        <v>743</v>
      </c>
      <c r="H215" s="43"/>
      <c r="I215" s="44" t="s">
        <v>103</v>
      </c>
      <c r="J215" s="10"/>
      <c r="K215" s="10"/>
      <c r="L215" s="10"/>
      <c r="M215" s="47" t="str">
        <f t="shared" si="3"/>
        <v>not answered/error</v>
      </c>
      <c r="N215" s="43"/>
      <c r="O215" s="43"/>
      <c r="P215" s="43"/>
      <c r="Q215" s="10" t="s">
        <v>1153</v>
      </c>
      <c r="R215" s="10"/>
      <c r="S215" s="10"/>
      <c r="T215" s="10"/>
      <c r="U215" s="10"/>
      <c r="V215" s="10"/>
      <c r="W215" s="10"/>
      <c r="X215" s="10"/>
      <c r="Y215" s="10"/>
      <c r="Z215" s="10"/>
      <c r="AA215" s="10"/>
      <c r="AB215" s="10"/>
    </row>
    <row r="216" spans="1:28" ht="100.8" x14ac:dyDescent="0.3">
      <c r="A216" s="43" t="s">
        <v>96</v>
      </c>
      <c r="B216" s="43" t="s">
        <v>97</v>
      </c>
      <c r="C216" s="43" t="s">
        <v>98</v>
      </c>
      <c r="D216" s="43" t="s">
        <v>744</v>
      </c>
      <c r="E216" s="43" t="s">
        <v>741</v>
      </c>
      <c r="F216" s="43" t="s">
        <v>745</v>
      </c>
      <c r="G216" s="43" t="s">
        <v>746</v>
      </c>
      <c r="H216" s="43"/>
      <c r="I216" s="44" t="s">
        <v>103</v>
      </c>
      <c r="J216" s="9"/>
      <c r="K216" s="9"/>
      <c r="L216" s="9"/>
      <c r="M216" s="47" t="str">
        <f t="shared" si="3"/>
        <v>not answered/error</v>
      </c>
      <c r="N216" s="43"/>
      <c r="O216" s="43"/>
      <c r="P216" s="43"/>
      <c r="Q216" s="10" t="s">
        <v>1154</v>
      </c>
      <c r="R216" s="10"/>
      <c r="S216" s="10"/>
      <c r="T216" s="10"/>
      <c r="U216" s="10"/>
      <c r="V216" s="10"/>
      <c r="W216" s="10"/>
      <c r="X216" s="10"/>
      <c r="Y216" s="10"/>
      <c r="Z216" s="10"/>
      <c r="AA216" s="10"/>
      <c r="AB216" s="10"/>
    </row>
    <row r="217" spans="1:28" ht="72" x14ac:dyDescent="0.3">
      <c r="A217" s="43" t="s">
        <v>96</v>
      </c>
      <c r="B217" s="43" t="s">
        <v>97</v>
      </c>
      <c r="C217" s="43" t="s">
        <v>98</v>
      </c>
      <c r="D217" s="43" t="s">
        <v>747</v>
      </c>
      <c r="E217" s="43" t="s">
        <v>741</v>
      </c>
      <c r="F217" s="43" t="s">
        <v>748</v>
      </c>
      <c r="G217" s="43" t="s">
        <v>749</v>
      </c>
      <c r="H217" s="43"/>
      <c r="I217" s="44" t="s">
        <v>103</v>
      </c>
      <c r="J217" s="10"/>
      <c r="K217" s="10"/>
      <c r="L217" s="10"/>
      <c r="M217" s="47" t="str">
        <f t="shared" si="3"/>
        <v>not answered/error</v>
      </c>
      <c r="N217" s="43"/>
      <c r="O217" s="43"/>
      <c r="P217" s="43"/>
      <c r="Q217" s="10" t="s">
        <v>1155</v>
      </c>
      <c r="R217" s="10"/>
      <c r="S217" s="10"/>
      <c r="T217" s="10"/>
      <c r="U217" s="10"/>
      <c r="V217" s="10"/>
      <c r="W217" s="10"/>
      <c r="X217" s="10"/>
      <c r="Y217" s="10"/>
      <c r="Z217" s="10"/>
      <c r="AA217" s="10"/>
      <c r="AB217" s="10"/>
    </row>
    <row r="218" spans="1:28" ht="72" x14ac:dyDescent="0.3">
      <c r="A218" s="43" t="s">
        <v>96</v>
      </c>
      <c r="B218" s="43" t="s">
        <v>97</v>
      </c>
      <c r="C218" s="43" t="s">
        <v>98</v>
      </c>
      <c r="D218" s="43" t="s">
        <v>750</v>
      </c>
      <c r="E218" s="43" t="s">
        <v>741</v>
      </c>
      <c r="F218" s="43" t="s">
        <v>751</v>
      </c>
      <c r="G218" s="43" t="s">
        <v>752</v>
      </c>
      <c r="H218" s="43"/>
      <c r="I218" s="44" t="s">
        <v>103</v>
      </c>
      <c r="J218" s="10"/>
      <c r="K218" s="10"/>
      <c r="L218" s="10"/>
      <c r="M218" s="47" t="str">
        <f t="shared" si="3"/>
        <v>not answered/error</v>
      </c>
      <c r="N218" s="43"/>
      <c r="O218" s="43"/>
      <c r="P218" s="43"/>
      <c r="Q218" s="10" t="s">
        <v>1156</v>
      </c>
      <c r="R218" s="10"/>
      <c r="S218" s="10"/>
      <c r="T218" s="10"/>
      <c r="U218" s="10"/>
      <c r="V218" s="10"/>
      <c r="W218" s="10"/>
      <c r="X218" s="10"/>
      <c r="Y218" s="10"/>
      <c r="Z218" s="10"/>
      <c r="AA218" s="10"/>
      <c r="AB218" s="10"/>
    </row>
    <row r="219" spans="1:28" ht="57.6" x14ac:dyDescent="0.3">
      <c r="A219" s="43" t="s">
        <v>96</v>
      </c>
      <c r="B219" s="43" t="s">
        <v>97</v>
      </c>
      <c r="C219" s="43" t="s">
        <v>98</v>
      </c>
      <c r="D219" s="43" t="s">
        <v>753</v>
      </c>
      <c r="E219" s="43" t="s">
        <v>741</v>
      </c>
      <c r="F219" s="43" t="s">
        <v>754</v>
      </c>
      <c r="G219" s="43" t="s">
        <v>755</v>
      </c>
      <c r="H219" s="43"/>
      <c r="I219" s="44" t="s">
        <v>103</v>
      </c>
      <c r="J219" s="9"/>
      <c r="K219" s="9"/>
      <c r="L219" s="9"/>
      <c r="M219" s="47" t="str">
        <f t="shared" si="3"/>
        <v>not answered/error</v>
      </c>
      <c r="N219" s="43"/>
      <c r="O219" s="43"/>
      <c r="P219" s="43"/>
      <c r="Q219" s="10" t="s">
        <v>1157</v>
      </c>
      <c r="R219" s="10"/>
      <c r="S219" s="10"/>
      <c r="T219" s="10"/>
      <c r="U219" s="10"/>
      <c r="V219" s="10"/>
      <c r="W219" s="10"/>
      <c r="X219" s="10"/>
      <c r="Y219" s="10"/>
      <c r="Z219" s="10"/>
      <c r="AA219" s="10"/>
      <c r="AB219" s="10"/>
    </row>
    <row r="220" spans="1:28" ht="57.6" x14ac:dyDescent="0.3">
      <c r="A220" s="43" t="s">
        <v>96</v>
      </c>
      <c r="B220" s="43" t="s">
        <v>97</v>
      </c>
      <c r="C220" s="43" t="s">
        <v>98</v>
      </c>
      <c r="D220" s="43" t="s">
        <v>756</v>
      </c>
      <c r="E220" s="43" t="s">
        <v>741</v>
      </c>
      <c r="F220" s="43" t="s">
        <v>757</v>
      </c>
      <c r="G220" s="43" t="s">
        <v>758</v>
      </c>
      <c r="H220" s="43"/>
      <c r="I220" s="44" t="s">
        <v>103</v>
      </c>
      <c r="J220" s="10"/>
      <c r="K220" s="10"/>
      <c r="L220" s="10"/>
      <c r="M220" s="47" t="str">
        <f t="shared" si="3"/>
        <v>not answered/error</v>
      </c>
      <c r="N220" s="43"/>
      <c r="O220" s="43"/>
      <c r="P220" s="43"/>
      <c r="Q220" s="10" t="s">
        <v>1158</v>
      </c>
      <c r="R220" s="10"/>
      <c r="S220" s="10"/>
      <c r="T220" s="10"/>
      <c r="U220" s="10"/>
      <c r="V220" s="10"/>
      <c r="W220" s="10"/>
      <c r="X220" s="10"/>
      <c r="Y220" s="10"/>
      <c r="Z220" s="10"/>
      <c r="AA220" s="10"/>
      <c r="AB220" s="10"/>
    </row>
    <row r="221" spans="1:28" ht="172.8" x14ac:dyDescent="0.3">
      <c r="A221" s="43" t="s">
        <v>96</v>
      </c>
      <c r="B221" s="43" t="s">
        <v>97</v>
      </c>
      <c r="C221" s="43" t="s">
        <v>98</v>
      </c>
      <c r="D221" s="43" t="s">
        <v>759</v>
      </c>
      <c r="E221" s="43" t="s">
        <v>760</v>
      </c>
      <c r="F221" s="43" t="s">
        <v>761</v>
      </c>
      <c r="G221" s="43" t="s">
        <v>762</v>
      </c>
      <c r="H221" s="43"/>
      <c r="I221" s="44" t="s">
        <v>103</v>
      </c>
      <c r="J221" s="10"/>
      <c r="K221" s="10"/>
      <c r="L221" s="10"/>
      <c r="M221" s="47" t="str">
        <f t="shared" si="3"/>
        <v>not answered/error</v>
      </c>
      <c r="N221" s="43"/>
      <c r="O221" s="43"/>
      <c r="P221" s="43"/>
      <c r="Q221" s="10" t="s">
        <v>1159</v>
      </c>
      <c r="R221" s="10"/>
      <c r="S221" s="10"/>
      <c r="T221" s="10"/>
      <c r="U221" s="10"/>
      <c r="V221" s="10"/>
      <c r="W221" s="10"/>
      <c r="X221" s="10"/>
      <c r="Y221" s="10"/>
      <c r="Z221" s="10"/>
      <c r="AA221" s="10"/>
      <c r="AB221" s="10"/>
    </row>
    <row r="222" spans="1:28" ht="172.8" x14ac:dyDescent="0.3">
      <c r="A222" s="43" t="s">
        <v>96</v>
      </c>
      <c r="B222" s="43" t="s">
        <v>97</v>
      </c>
      <c r="C222" s="43" t="s">
        <v>98</v>
      </c>
      <c r="D222" s="43" t="s">
        <v>763</v>
      </c>
      <c r="E222" s="43" t="s">
        <v>760</v>
      </c>
      <c r="F222" s="43" t="s">
        <v>764</v>
      </c>
      <c r="G222" s="43" t="s">
        <v>765</v>
      </c>
      <c r="H222" s="43"/>
      <c r="I222" s="44" t="s">
        <v>103</v>
      </c>
      <c r="J222" s="10"/>
      <c r="K222" s="10"/>
      <c r="L222" s="10"/>
      <c r="M222" s="47" t="str">
        <f t="shared" si="3"/>
        <v>not answered/error</v>
      </c>
      <c r="N222" s="43"/>
      <c r="O222" s="43"/>
      <c r="P222" s="43"/>
      <c r="Q222" s="10" t="s">
        <v>1160</v>
      </c>
      <c r="R222" s="10"/>
      <c r="S222" s="10"/>
      <c r="T222" s="10"/>
      <c r="U222" s="10"/>
      <c r="V222" s="10"/>
      <c r="W222" s="10"/>
      <c r="X222" s="10"/>
      <c r="Y222" s="10"/>
      <c r="Z222" s="10"/>
      <c r="AA222" s="10"/>
      <c r="AB222" s="10"/>
    </row>
    <row r="223" spans="1:28" ht="43.2" x14ac:dyDescent="0.3">
      <c r="A223" s="43" t="s">
        <v>96</v>
      </c>
      <c r="B223" s="43" t="s">
        <v>97</v>
      </c>
      <c r="C223" s="43" t="s">
        <v>98</v>
      </c>
      <c r="D223" s="43" t="s">
        <v>766</v>
      </c>
      <c r="E223" s="43" t="s">
        <v>760</v>
      </c>
      <c r="F223" s="43" t="s">
        <v>767</v>
      </c>
      <c r="G223" s="43" t="s">
        <v>768</v>
      </c>
      <c r="H223" s="43"/>
      <c r="I223" s="45" t="s">
        <v>203</v>
      </c>
      <c r="J223" s="10"/>
      <c r="K223" s="10"/>
      <c r="L223" s="10"/>
      <c r="M223" s="47" t="str">
        <f t="shared" si="3"/>
        <v>not answered/error</v>
      </c>
      <c r="N223" s="43"/>
      <c r="O223" s="43"/>
      <c r="P223" s="43"/>
      <c r="Q223" s="10" t="s">
        <v>1161</v>
      </c>
      <c r="R223" s="10"/>
      <c r="S223" s="10"/>
      <c r="T223" s="10"/>
      <c r="U223" s="10"/>
      <c r="V223" s="10"/>
      <c r="W223" s="10"/>
      <c r="X223" s="10"/>
      <c r="Y223" s="10"/>
      <c r="Z223" s="10"/>
      <c r="AA223" s="10"/>
      <c r="AB223" s="10"/>
    </row>
    <row r="224" spans="1:28" ht="129.6" x14ac:dyDescent="0.3">
      <c r="A224" s="43" t="s">
        <v>96</v>
      </c>
      <c r="B224" s="43" t="s">
        <v>97</v>
      </c>
      <c r="C224" s="43" t="s">
        <v>98</v>
      </c>
      <c r="D224" s="43" t="s">
        <v>769</v>
      </c>
      <c r="E224" s="43" t="s">
        <v>760</v>
      </c>
      <c r="F224" s="43" t="s">
        <v>770</v>
      </c>
      <c r="G224" s="43" t="s">
        <v>771</v>
      </c>
      <c r="H224" s="43"/>
      <c r="I224" s="44" t="s">
        <v>103</v>
      </c>
      <c r="J224" s="10"/>
      <c r="K224" s="10"/>
      <c r="L224" s="10"/>
      <c r="M224" s="47" t="str">
        <f t="shared" si="3"/>
        <v>not answered/error</v>
      </c>
      <c r="N224" s="43"/>
      <c r="O224" s="43"/>
      <c r="P224" s="43"/>
      <c r="Q224" s="10" t="s">
        <v>1162</v>
      </c>
      <c r="R224" s="10"/>
      <c r="S224" s="10"/>
      <c r="T224" s="10"/>
      <c r="U224" s="10"/>
      <c r="V224" s="10"/>
      <c r="W224" s="10"/>
      <c r="X224" s="10"/>
      <c r="Y224" s="10"/>
      <c r="Z224" s="10"/>
      <c r="AA224" s="10"/>
      <c r="AB224" s="10"/>
    </row>
    <row r="225" spans="1:28" ht="72" x14ac:dyDescent="0.3">
      <c r="A225" s="43" t="s">
        <v>96</v>
      </c>
      <c r="B225" s="43" t="s">
        <v>97</v>
      </c>
      <c r="C225" s="43" t="s">
        <v>98</v>
      </c>
      <c r="D225" s="43" t="s">
        <v>772</v>
      </c>
      <c r="E225" s="43" t="s">
        <v>760</v>
      </c>
      <c r="F225" s="43" t="s">
        <v>773</v>
      </c>
      <c r="G225" s="43" t="s">
        <v>774</v>
      </c>
      <c r="H225" s="43"/>
      <c r="I225" s="45" t="s">
        <v>203</v>
      </c>
      <c r="J225" s="10"/>
      <c r="K225" s="10"/>
      <c r="L225" s="10"/>
      <c r="M225" s="47" t="str">
        <f t="shared" si="3"/>
        <v>not answered/error</v>
      </c>
      <c r="N225" s="43"/>
      <c r="O225" s="43"/>
      <c r="P225" s="43"/>
      <c r="Q225" s="10" t="s">
        <v>1163</v>
      </c>
      <c r="R225" s="10"/>
      <c r="S225" s="10"/>
      <c r="T225" s="10"/>
      <c r="U225" s="10"/>
      <c r="V225" s="10"/>
      <c r="W225" s="10"/>
      <c r="X225" s="10"/>
      <c r="Y225" s="10"/>
      <c r="Z225" s="10"/>
      <c r="AA225" s="10"/>
      <c r="AB225" s="10"/>
    </row>
    <row r="226" spans="1:28" ht="86.4" x14ac:dyDescent="0.3">
      <c r="A226" s="43" t="s">
        <v>96</v>
      </c>
      <c r="B226" s="43" t="s">
        <v>97</v>
      </c>
      <c r="C226" s="43" t="s">
        <v>98</v>
      </c>
      <c r="D226" s="43" t="s">
        <v>775</v>
      </c>
      <c r="E226" s="43" t="s">
        <v>760</v>
      </c>
      <c r="F226" s="43" t="s">
        <v>776</v>
      </c>
      <c r="G226" s="43" t="s">
        <v>777</v>
      </c>
      <c r="H226" s="43"/>
      <c r="I226" s="44" t="s">
        <v>103</v>
      </c>
      <c r="J226" s="10"/>
      <c r="K226" s="10"/>
      <c r="L226" s="10"/>
      <c r="M226" s="47" t="str">
        <f t="shared" si="3"/>
        <v>not answered/error</v>
      </c>
      <c r="N226" s="43"/>
      <c r="O226" s="43"/>
      <c r="P226" s="43"/>
      <c r="Q226" s="10" t="s">
        <v>1164</v>
      </c>
      <c r="R226" s="10"/>
      <c r="S226" s="10"/>
      <c r="T226" s="10"/>
      <c r="U226" s="10"/>
      <c r="V226" s="10"/>
      <c r="W226" s="10"/>
      <c r="X226" s="10"/>
      <c r="Y226" s="10"/>
      <c r="Z226" s="10"/>
      <c r="AA226" s="10"/>
      <c r="AB226" s="10"/>
    </row>
    <row r="227" spans="1:28" ht="86.4" x14ac:dyDescent="0.3">
      <c r="A227" s="43" t="s">
        <v>96</v>
      </c>
      <c r="B227" s="43" t="s">
        <v>97</v>
      </c>
      <c r="C227" s="43" t="s">
        <v>98</v>
      </c>
      <c r="D227" s="43" t="s">
        <v>778</v>
      </c>
      <c r="E227" s="43" t="s">
        <v>760</v>
      </c>
      <c r="F227" s="43" t="s">
        <v>779</v>
      </c>
      <c r="G227" s="43" t="s">
        <v>780</v>
      </c>
      <c r="H227" s="43"/>
      <c r="I227" s="45" t="s">
        <v>203</v>
      </c>
      <c r="J227" s="10"/>
      <c r="K227" s="10"/>
      <c r="L227" s="10"/>
      <c r="M227" s="47" t="str">
        <f t="shared" si="3"/>
        <v>not answered/error</v>
      </c>
      <c r="N227" s="43"/>
      <c r="O227" s="43"/>
      <c r="P227" s="43"/>
      <c r="Q227" s="10" t="s">
        <v>1165</v>
      </c>
      <c r="R227" s="10"/>
      <c r="S227" s="10"/>
      <c r="T227" s="10"/>
      <c r="U227" s="10"/>
      <c r="V227" s="10"/>
      <c r="W227" s="10"/>
      <c r="X227" s="10"/>
      <c r="Y227" s="10"/>
      <c r="Z227" s="10"/>
      <c r="AA227" s="10"/>
      <c r="AB227" s="10"/>
    </row>
    <row r="228" spans="1:28" ht="187.2" x14ac:dyDescent="0.3">
      <c r="A228" s="43" t="s">
        <v>96</v>
      </c>
      <c r="B228" s="43" t="s">
        <v>97</v>
      </c>
      <c r="C228" s="43" t="s">
        <v>98</v>
      </c>
      <c r="D228" s="43" t="s">
        <v>781</v>
      </c>
      <c r="E228" s="43" t="s">
        <v>760</v>
      </c>
      <c r="F228" s="43" t="s">
        <v>782</v>
      </c>
      <c r="G228" s="43" t="s">
        <v>783</v>
      </c>
      <c r="H228" s="43"/>
      <c r="I228" s="44" t="s">
        <v>103</v>
      </c>
      <c r="J228" s="10"/>
      <c r="K228" s="10"/>
      <c r="L228" s="10"/>
      <c r="M228" s="47" t="str">
        <f t="shared" si="3"/>
        <v>not answered/error</v>
      </c>
      <c r="N228" s="43"/>
      <c r="O228" s="43"/>
      <c r="P228" s="43"/>
      <c r="Q228" s="10" t="s">
        <v>1166</v>
      </c>
      <c r="R228" s="10"/>
      <c r="S228" s="10"/>
      <c r="T228" s="10"/>
      <c r="U228" s="10"/>
      <c r="V228" s="10"/>
      <c r="W228" s="10"/>
      <c r="X228" s="10"/>
      <c r="Y228" s="10"/>
      <c r="Z228" s="10"/>
      <c r="AA228" s="10"/>
      <c r="AB228" s="10"/>
    </row>
    <row r="229" spans="1:28" ht="129.6" x14ac:dyDescent="0.3">
      <c r="A229" s="43" t="s">
        <v>96</v>
      </c>
      <c r="B229" s="43" t="s">
        <v>97</v>
      </c>
      <c r="C229" s="43" t="s">
        <v>98</v>
      </c>
      <c r="D229" s="43" t="s">
        <v>784</v>
      </c>
      <c r="E229" s="43" t="s">
        <v>785</v>
      </c>
      <c r="F229" s="43" t="s">
        <v>786</v>
      </c>
      <c r="G229" s="43" t="s">
        <v>787</v>
      </c>
      <c r="H229" s="43"/>
      <c r="I229" s="45" t="s">
        <v>203</v>
      </c>
      <c r="J229" s="10"/>
      <c r="K229" s="10"/>
      <c r="L229" s="10"/>
      <c r="M229" s="47" t="str">
        <f t="shared" si="3"/>
        <v>not answered/error</v>
      </c>
      <c r="N229" s="43"/>
      <c r="O229" s="43"/>
      <c r="P229" s="43"/>
      <c r="Q229" s="10" t="s">
        <v>1167</v>
      </c>
      <c r="R229" s="10"/>
      <c r="S229" s="10"/>
      <c r="T229" s="10"/>
      <c r="U229" s="10"/>
      <c r="V229" s="10"/>
      <c r="W229" s="10"/>
      <c r="X229" s="10"/>
      <c r="Y229" s="10"/>
      <c r="Z229" s="10"/>
      <c r="AA229" s="10"/>
      <c r="AB229" s="10"/>
    </row>
    <row r="230" spans="1:28" ht="172.8" x14ac:dyDescent="0.3">
      <c r="A230" s="43" t="s">
        <v>96</v>
      </c>
      <c r="B230" s="43" t="s">
        <v>97</v>
      </c>
      <c r="C230" s="43" t="s">
        <v>98</v>
      </c>
      <c r="D230" s="43" t="s">
        <v>788</v>
      </c>
      <c r="E230" s="43" t="s">
        <v>785</v>
      </c>
      <c r="F230" s="43" t="s">
        <v>789</v>
      </c>
      <c r="G230" s="43" t="s">
        <v>790</v>
      </c>
      <c r="H230" s="43"/>
      <c r="I230" s="44" t="s">
        <v>103</v>
      </c>
      <c r="J230" s="10"/>
      <c r="K230" s="10"/>
      <c r="L230" s="10"/>
      <c r="M230" s="47" t="str">
        <f t="shared" si="3"/>
        <v>not answered/error</v>
      </c>
      <c r="N230" s="43"/>
      <c r="O230" s="43"/>
      <c r="P230" s="43"/>
      <c r="Q230" s="10" t="s">
        <v>1168</v>
      </c>
      <c r="R230" s="10"/>
      <c r="S230" s="10"/>
      <c r="T230" s="10"/>
      <c r="U230" s="10"/>
      <c r="V230" s="10"/>
      <c r="W230" s="10"/>
      <c r="X230" s="10"/>
      <c r="Y230" s="10"/>
      <c r="Z230" s="10"/>
      <c r="AA230" s="10"/>
      <c r="AB230" s="10"/>
    </row>
    <row r="231" spans="1:28" ht="158.4" x14ac:dyDescent="0.3">
      <c r="A231" s="43" t="s">
        <v>96</v>
      </c>
      <c r="B231" s="43" t="s">
        <v>97</v>
      </c>
      <c r="C231" s="43" t="s">
        <v>98</v>
      </c>
      <c r="D231" s="43" t="s">
        <v>791</v>
      </c>
      <c r="E231" s="43" t="s">
        <v>785</v>
      </c>
      <c r="F231" s="43" t="s">
        <v>792</v>
      </c>
      <c r="G231" s="43" t="s">
        <v>793</v>
      </c>
      <c r="H231" s="43"/>
      <c r="I231" s="44" t="s">
        <v>103</v>
      </c>
      <c r="J231" s="10"/>
      <c r="K231" s="10"/>
      <c r="L231" s="10"/>
      <c r="M231" s="47" t="str">
        <f t="shared" si="3"/>
        <v>not answered/error</v>
      </c>
      <c r="N231" s="43"/>
      <c r="O231" s="43"/>
      <c r="P231" s="43"/>
      <c r="Q231" s="10" t="s">
        <v>1169</v>
      </c>
      <c r="R231" s="10"/>
      <c r="S231" s="10"/>
      <c r="T231" s="10"/>
      <c r="U231" s="10"/>
      <c r="V231" s="10"/>
      <c r="W231" s="10"/>
      <c r="X231" s="10"/>
      <c r="Y231" s="10"/>
      <c r="Z231" s="10"/>
      <c r="AA231" s="10"/>
      <c r="AB231" s="10"/>
    </row>
    <row r="232" spans="1:28" ht="216" x14ac:dyDescent="0.3">
      <c r="A232" s="43" t="s">
        <v>96</v>
      </c>
      <c r="B232" s="43" t="s">
        <v>97</v>
      </c>
      <c r="C232" s="43" t="s">
        <v>98</v>
      </c>
      <c r="D232" s="43" t="s">
        <v>794</v>
      </c>
      <c r="E232" s="43" t="s">
        <v>785</v>
      </c>
      <c r="F232" s="43" t="s">
        <v>795</v>
      </c>
      <c r="G232" s="43" t="s">
        <v>796</v>
      </c>
      <c r="H232" s="43"/>
      <c r="I232" s="44" t="s">
        <v>103</v>
      </c>
      <c r="J232" s="10"/>
      <c r="K232" s="10"/>
      <c r="L232" s="10"/>
      <c r="M232" s="47" t="str">
        <f t="shared" si="3"/>
        <v>not answered/error</v>
      </c>
      <c r="N232" s="43"/>
      <c r="O232" s="43"/>
      <c r="P232" s="43"/>
      <c r="Q232" s="10" t="s">
        <v>1170</v>
      </c>
      <c r="R232" s="10"/>
      <c r="S232" s="10"/>
      <c r="T232" s="10"/>
      <c r="U232" s="10"/>
      <c r="V232" s="10"/>
      <c r="W232" s="10"/>
      <c r="X232" s="10"/>
      <c r="Y232" s="10"/>
      <c r="Z232" s="10"/>
      <c r="AA232" s="10"/>
      <c r="AB232" s="10"/>
    </row>
    <row r="233" spans="1:28" ht="72" x14ac:dyDescent="0.3">
      <c r="A233" s="43" t="s">
        <v>96</v>
      </c>
      <c r="B233" s="43" t="s">
        <v>97</v>
      </c>
      <c r="C233" s="43" t="s">
        <v>98</v>
      </c>
      <c r="D233" s="43" t="s">
        <v>797</v>
      </c>
      <c r="E233" s="43" t="s">
        <v>785</v>
      </c>
      <c r="F233" s="43" t="s">
        <v>798</v>
      </c>
      <c r="G233" s="43" t="s">
        <v>799</v>
      </c>
      <c r="H233" s="43"/>
      <c r="I233" s="44" t="s">
        <v>103</v>
      </c>
      <c r="J233" s="10"/>
      <c r="K233" s="10"/>
      <c r="L233" s="10"/>
      <c r="M233" s="47" t="str">
        <f t="shared" si="3"/>
        <v>not answered/error</v>
      </c>
      <c r="N233" s="43"/>
      <c r="O233" s="43"/>
      <c r="P233" s="43"/>
      <c r="Q233" s="10" t="s">
        <v>1171</v>
      </c>
      <c r="R233" s="10"/>
      <c r="S233" s="10"/>
      <c r="T233" s="10"/>
      <c r="U233" s="10"/>
      <c r="V233" s="10"/>
      <c r="W233" s="10"/>
      <c r="X233" s="10"/>
      <c r="Y233" s="10"/>
      <c r="Z233" s="10"/>
      <c r="AA233" s="10"/>
      <c r="AB233" s="10"/>
    </row>
    <row r="234" spans="1:28" ht="72" x14ac:dyDescent="0.3">
      <c r="A234" s="43" t="s">
        <v>96</v>
      </c>
      <c r="B234" s="43" t="s">
        <v>97</v>
      </c>
      <c r="C234" s="43" t="s">
        <v>98</v>
      </c>
      <c r="D234" s="43" t="s">
        <v>800</v>
      </c>
      <c r="E234" s="43" t="s">
        <v>785</v>
      </c>
      <c r="F234" s="43" t="s">
        <v>801</v>
      </c>
      <c r="G234" s="43" t="s">
        <v>802</v>
      </c>
      <c r="H234" s="43"/>
      <c r="I234" s="44" t="s">
        <v>103</v>
      </c>
      <c r="J234" s="10"/>
      <c r="K234" s="10"/>
      <c r="L234" s="10"/>
      <c r="M234" s="47" t="str">
        <f t="shared" si="3"/>
        <v>not answered/error</v>
      </c>
      <c r="N234" s="43"/>
      <c r="O234" s="43"/>
      <c r="P234" s="43"/>
      <c r="Q234" s="10" t="s">
        <v>1172</v>
      </c>
      <c r="R234" s="10"/>
      <c r="S234" s="10"/>
      <c r="T234" s="10"/>
      <c r="U234" s="10"/>
      <c r="V234" s="10"/>
      <c r="W234" s="10"/>
      <c r="X234" s="10"/>
      <c r="Y234" s="10"/>
      <c r="Z234" s="10"/>
      <c r="AA234" s="10"/>
      <c r="AB234" s="10"/>
    </row>
    <row r="235" spans="1:28" ht="172.8" x14ac:dyDescent="0.3">
      <c r="A235" s="43" t="s">
        <v>96</v>
      </c>
      <c r="B235" s="43" t="s">
        <v>97</v>
      </c>
      <c r="C235" s="43" t="s">
        <v>98</v>
      </c>
      <c r="D235" s="43" t="s">
        <v>803</v>
      </c>
      <c r="E235" s="43" t="s">
        <v>804</v>
      </c>
      <c r="F235" s="43" t="s">
        <v>805</v>
      </c>
      <c r="G235" s="43" t="s">
        <v>806</v>
      </c>
      <c r="H235" s="43"/>
      <c r="I235" s="44" t="s">
        <v>103</v>
      </c>
      <c r="J235" s="10"/>
      <c r="K235" s="10"/>
      <c r="L235" s="10"/>
      <c r="M235" s="47" t="str">
        <f t="shared" si="3"/>
        <v>not answered/error</v>
      </c>
      <c r="N235" s="43"/>
      <c r="O235" s="43"/>
      <c r="P235" s="43"/>
      <c r="Q235" s="10" t="s">
        <v>1173</v>
      </c>
      <c r="R235" s="10"/>
      <c r="S235" s="10"/>
      <c r="T235" s="10"/>
      <c r="U235" s="10"/>
      <c r="V235" s="10"/>
      <c r="W235" s="10"/>
      <c r="X235" s="10"/>
      <c r="Y235" s="10"/>
      <c r="Z235" s="10"/>
      <c r="AA235" s="10"/>
      <c r="AB235" s="10"/>
    </row>
    <row r="236" spans="1:28" ht="72" x14ac:dyDescent="0.3">
      <c r="A236" s="43" t="s">
        <v>96</v>
      </c>
      <c r="B236" s="43" t="s">
        <v>97</v>
      </c>
      <c r="C236" s="43" t="s">
        <v>98</v>
      </c>
      <c r="D236" s="43" t="s">
        <v>807</v>
      </c>
      <c r="E236" s="43" t="s">
        <v>808</v>
      </c>
      <c r="F236" s="43" t="s">
        <v>809</v>
      </c>
      <c r="G236" s="43" t="s">
        <v>810</v>
      </c>
      <c r="H236" s="43"/>
      <c r="I236" s="44" t="s">
        <v>103</v>
      </c>
      <c r="J236" s="9"/>
      <c r="K236" s="9"/>
      <c r="L236" s="9"/>
      <c r="M236" s="47" t="str">
        <f t="shared" si="3"/>
        <v>not answered/error</v>
      </c>
      <c r="N236" s="43"/>
      <c r="O236" s="43"/>
      <c r="P236" s="43"/>
      <c r="Q236" s="10"/>
      <c r="R236" s="10"/>
      <c r="S236" s="10"/>
      <c r="T236" s="10"/>
      <c r="U236" s="10"/>
      <c r="V236" s="10"/>
      <c r="W236" s="10"/>
      <c r="X236" s="10"/>
      <c r="Y236" s="10"/>
      <c r="Z236" s="10"/>
      <c r="AA236" s="10"/>
      <c r="AB236" s="10"/>
    </row>
    <row r="237" spans="1:28" ht="216" x14ac:dyDescent="0.3">
      <c r="A237" s="43" t="s">
        <v>96</v>
      </c>
      <c r="B237" s="43" t="s">
        <v>97</v>
      </c>
      <c r="C237" s="43" t="s">
        <v>98</v>
      </c>
      <c r="D237" s="43" t="s">
        <v>811</v>
      </c>
      <c r="E237" s="43" t="s">
        <v>808</v>
      </c>
      <c r="F237" s="43" t="s">
        <v>812</v>
      </c>
      <c r="G237" s="43" t="s">
        <v>813</v>
      </c>
      <c r="H237" s="43"/>
      <c r="I237" s="44" t="s">
        <v>103</v>
      </c>
      <c r="J237" s="9"/>
      <c r="K237" s="9"/>
      <c r="L237" s="9"/>
      <c r="M237" s="47" t="str">
        <f t="shared" si="3"/>
        <v>not answered/error</v>
      </c>
      <c r="N237" s="43"/>
      <c r="O237" s="43"/>
      <c r="P237" s="43"/>
      <c r="Q237" s="10"/>
      <c r="R237" s="10"/>
      <c r="S237" s="10"/>
      <c r="T237" s="10"/>
      <c r="U237" s="10"/>
      <c r="V237" s="10"/>
      <c r="W237" s="10"/>
      <c r="X237" s="10"/>
      <c r="Y237" s="10"/>
      <c r="Z237" s="10"/>
      <c r="AA237" s="10"/>
      <c r="AB237" s="10"/>
    </row>
    <row r="238" spans="1:28" ht="72" x14ac:dyDescent="0.3">
      <c r="A238" s="43" t="s">
        <v>96</v>
      </c>
      <c r="B238" s="43" t="s">
        <v>97</v>
      </c>
      <c r="C238" s="43" t="s">
        <v>98</v>
      </c>
      <c r="D238" s="43" t="s">
        <v>814</v>
      </c>
      <c r="E238" s="43" t="s">
        <v>808</v>
      </c>
      <c r="F238" s="43" t="s">
        <v>815</v>
      </c>
      <c r="G238" s="43" t="s">
        <v>816</v>
      </c>
      <c r="H238" s="43"/>
      <c r="I238" s="44" t="s">
        <v>103</v>
      </c>
      <c r="J238" s="9"/>
      <c r="K238" s="9"/>
      <c r="L238" s="9"/>
      <c r="M238" s="47" t="str">
        <f t="shared" si="3"/>
        <v>not answered/error</v>
      </c>
      <c r="N238" s="43"/>
      <c r="O238" s="43"/>
      <c r="P238" s="43"/>
      <c r="Q238" s="10"/>
      <c r="R238" s="10"/>
      <c r="S238" s="10"/>
      <c r="T238" s="10"/>
      <c r="U238" s="10"/>
      <c r="V238" s="10"/>
      <c r="W238" s="10"/>
      <c r="X238" s="10"/>
      <c r="Y238" s="10"/>
      <c r="Z238" s="10"/>
      <c r="AA238" s="10"/>
      <c r="AB238" s="10"/>
    </row>
    <row r="239" spans="1:28" ht="360" x14ac:dyDescent="0.3">
      <c r="A239" s="43" t="s">
        <v>96</v>
      </c>
      <c r="B239" s="43" t="s">
        <v>97</v>
      </c>
      <c r="C239" s="43" t="s">
        <v>98</v>
      </c>
      <c r="D239" s="43" t="s">
        <v>817</v>
      </c>
      <c r="E239" s="43" t="s">
        <v>808</v>
      </c>
      <c r="F239" s="43" t="s">
        <v>818</v>
      </c>
      <c r="G239" s="43" t="s">
        <v>819</v>
      </c>
      <c r="H239" s="43"/>
      <c r="I239" s="44" t="s">
        <v>103</v>
      </c>
      <c r="J239" s="9"/>
      <c r="K239" s="9"/>
      <c r="L239" s="9"/>
      <c r="M239" s="47" t="str">
        <f t="shared" si="3"/>
        <v>not answered/error</v>
      </c>
      <c r="N239" s="43"/>
      <c r="O239" s="43"/>
      <c r="P239" s="43"/>
      <c r="Q239" s="10"/>
      <c r="R239" s="10"/>
      <c r="S239" s="10"/>
      <c r="T239" s="10"/>
      <c r="U239" s="10"/>
      <c r="V239" s="10"/>
      <c r="W239" s="10"/>
      <c r="X239" s="10"/>
      <c r="Y239" s="10"/>
      <c r="Z239" s="10"/>
      <c r="AA239" s="10"/>
      <c r="AB239" s="10"/>
    </row>
    <row r="240" spans="1:28" ht="72" x14ac:dyDescent="0.3">
      <c r="A240" s="43" t="s">
        <v>96</v>
      </c>
      <c r="B240" s="43" t="s">
        <v>97</v>
      </c>
      <c r="C240" s="43" t="s">
        <v>98</v>
      </c>
      <c r="D240" s="43" t="s">
        <v>820</v>
      </c>
      <c r="E240" s="43" t="s">
        <v>808</v>
      </c>
      <c r="F240" s="43" t="s">
        <v>821</v>
      </c>
      <c r="G240" s="43" t="s">
        <v>822</v>
      </c>
      <c r="H240" s="43"/>
      <c r="I240" s="44" t="s">
        <v>103</v>
      </c>
      <c r="J240" s="9"/>
      <c r="K240" s="9"/>
      <c r="L240" s="9"/>
      <c r="M240" s="47" t="str">
        <f t="shared" si="3"/>
        <v>not answered/error</v>
      </c>
      <c r="N240" s="43"/>
      <c r="O240" s="43"/>
      <c r="P240" s="43"/>
      <c r="Q240" s="10"/>
      <c r="R240" s="10"/>
      <c r="S240" s="10"/>
      <c r="T240" s="10"/>
      <c r="U240" s="10"/>
      <c r="V240" s="10"/>
      <c r="W240" s="10"/>
      <c r="X240" s="10"/>
      <c r="Y240" s="10"/>
      <c r="Z240" s="10"/>
      <c r="AA240" s="10"/>
      <c r="AB240" s="10"/>
    </row>
    <row r="241" spans="1:28" ht="409.6" x14ac:dyDescent="0.3">
      <c r="A241" s="43" t="s">
        <v>96</v>
      </c>
      <c r="B241" s="43" t="s">
        <v>97</v>
      </c>
      <c r="C241" s="43" t="s">
        <v>98</v>
      </c>
      <c r="D241" s="43" t="s">
        <v>823</v>
      </c>
      <c r="E241" s="43" t="s">
        <v>808</v>
      </c>
      <c r="F241" s="43" t="s">
        <v>824</v>
      </c>
      <c r="G241" s="43" t="s">
        <v>825</v>
      </c>
      <c r="H241" s="43"/>
      <c r="I241" s="44" t="s">
        <v>103</v>
      </c>
      <c r="J241" s="9"/>
      <c r="K241" s="9"/>
      <c r="L241" s="9"/>
      <c r="M241" s="47" t="str">
        <f t="shared" si="3"/>
        <v>not answered/error</v>
      </c>
      <c r="N241" s="43"/>
      <c r="O241" s="43"/>
      <c r="P241" s="43"/>
      <c r="Q241" s="10"/>
      <c r="R241" s="10"/>
      <c r="S241" s="10"/>
      <c r="T241" s="10"/>
      <c r="U241" s="10"/>
      <c r="V241" s="10"/>
      <c r="W241" s="10"/>
      <c r="X241" s="10"/>
      <c r="Y241" s="10"/>
      <c r="Z241" s="10"/>
      <c r="AA241" s="10"/>
      <c r="AB241" s="10"/>
    </row>
    <row r="242" spans="1:28" ht="86.4" x14ac:dyDescent="0.3">
      <c r="A242" s="43" t="s">
        <v>96</v>
      </c>
      <c r="B242" s="43" t="s">
        <v>97</v>
      </c>
      <c r="C242" s="43" t="s">
        <v>98</v>
      </c>
      <c r="D242" s="43" t="s">
        <v>826</v>
      </c>
      <c r="E242" s="43" t="s">
        <v>808</v>
      </c>
      <c r="F242" s="43" t="s">
        <v>827</v>
      </c>
      <c r="G242" s="43" t="s">
        <v>828</v>
      </c>
      <c r="H242" s="43"/>
      <c r="I242" s="44" t="s">
        <v>103</v>
      </c>
      <c r="J242" s="9"/>
      <c r="K242" s="9"/>
      <c r="L242" s="9"/>
      <c r="M242" s="47" t="str">
        <f t="shared" si="3"/>
        <v>not answered/error</v>
      </c>
      <c r="N242" s="43"/>
      <c r="O242" s="43"/>
      <c r="P242" s="43"/>
      <c r="Q242" s="10"/>
      <c r="R242" s="10"/>
      <c r="S242" s="10"/>
      <c r="T242" s="10"/>
      <c r="U242" s="10"/>
      <c r="V242" s="10"/>
      <c r="W242" s="10"/>
      <c r="X242" s="10"/>
      <c r="Y242" s="10"/>
      <c r="Z242" s="10"/>
      <c r="AA242" s="10"/>
      <c r="AB242" s="10"/>
    </row>
    <row r="243" spans="1:28" ht="201.6" x14ac:dyDescent="0.3">
      <c r="A243" s="43" t="s">
        <v>96</v>
      </c>
      <c r="B243" s="43" t="s">
        <v>97</v>
      </c>
      <c r="C243" s="43" t="s">
        <v>98</v>
      </c>
      <c r="D243" s="43" t="s">
        <v>829</v>
      </c>
      <c r="E243" s="43" t="s">
        <v>808</v>
      </c>
      <c r="F243" s="43" t="s">
        <v>830</v>
      </c>
      <c r="G243" s="43" t="s">
        <v>831</v>
      </c>
      <c r="H243" s="43"/>
      <c r="I243" s="44" t="s">
        <v>103</v>
      </c>
      <c r="J243" s="9"/>
      <c r="K243" s="9"/>
      <c r="L243" s="9"/>
      <c r="M243" s="47" t="str">
        <f t="shared" si="3"/>
        <v>not answered/error</v>
      </c>
      <c r="N243" s="43"/>
      <c r="O243" s="43"/>
      <c r="P243" s="43"/>
      <c r="Q243" s="10"/>
      <c r="R243" s="10"/>
      <c r="S243" s="10"/>
      <c r="T243" s="10"/>
      <c r="U243" s="10"/>
      <c r="V243" s="10"/>
      <c r="W243" s="10"/>
      <c r="X243" s="10"/>
      <c r="Y243" s="10"/>
      <c r="Z243" s="10"/>
      <c r="AA243" s="10"/>
      <c r="AB243" s="10"/>
    </row>
    <row r="244" spans="1:28" ht="57.6" x14ac:dyDescent="0.3">
      <c r="A244" s="43" t="s">
        <v>96</v>
      </c>
      <c r="B244" s="43" t="s">
        <v>97</v>
      </c>
      <c r="C244" s="43" t="s">
        <v>98</v>
      </c>
      <c r="D244" s="43" t="s">
        <v>832</v>
      </c>
      <c r="E244" s="43" t="s">
        <v>808</v>
      </c>
      <c r="F244" s="43" t="s">
        <v>833</v>
      </c>
      <c r="G244" s="43" t="s">
        <v>834</v>
      </c>
      <c r="H244" s="43"/>
      <c r="I244" s="44" t="s">
        <v>103</v>
      </c>
      <c r="J244" s="9"/>
      <c r="K244" s="9"/>
      <c r="L244" s="9"/>
      <c r="M244" s="47" t="str">
        <f t="shared" si="3"/>
        <v>not answered/error</v>
      </c>
      <c r="N244" s="43"/>
      <c r="O244" s="43"/>
      <c r="P244" s="43"/>
      <c r="Q244" s="10"/>
      <c r="R244" s="10"/>
      <c r="S244" s="10"/>
      <c r="T244" s="10"/>
      <c r="U244" s="10"/>
      <c r="V244" s="10"/>
      <c r="W244" s="10"/>
      <c r="X244" s="10"/>
      <c r="Y244" s="10"/>
      <c r="Z244" s="10"/>
      <c r="AA244" s="10"/>
      <c r="AB244" s="10"/>
    </row>
    <row r="245" spans="1:28" ht="288" x14ac:dyDescent="0.3">
      <c r="A245" s="43" t="s">
        <v>96</v>
      </c>
      <c r="B245" s="43" t="s">
        <v>97</v>
      </c>
      <c r="C245" s="43" t="s">
        <v>98</v>
      </c>
      <c r="D245" s="43" t="s">
        <v>835</v>
      </c>
      <c r="E245" s="43" t="s">
        <v>808</v>
      </c>
      <c r="F245" s="43" t="s">
        <v>836</v>
      </c>
      <c r="G245" s="43" t="s">
        <v>837</v>
      </c>
      <c r="H245" s="43"/>
      <c r="I245" s="44" t="s">
        <v>103</v>
      </c>
      <c r="J245" s="10"/>
      <c r="K245" s="10"/>
      <c r="L245" s="10"/>
      <c r="M245" s="47" t="str">
        <f t="shared" si="3"/>
        <v>not answered/error</v>
      </c>
      <c r="N245" s="43"/>
      <c r="O245" s="43"/>
      <c r="P245" s="43"/>
      <c r="Q245" s="10"/>
      <c r="R245" s="10"/>
      <c r="S245" s="10"/>
      <c r="T245" s="10"/>
      <c r="U245" s="10"/>
      <c r="V245" s="10"/>
      <c r="W245" s="10"/>
      <c r="X245" s="10"/>
      <c r="Y245" s="10"/>
      <c r="Z245" s="10"/>
      <c r="AA245" s="10"/>
      <c r="AB245" s="10"/>
    </row>
    <row r="246" spans="1:28" ht="100.8" x14ac:dyDescent="0.3">
      <c r="A246" s="43" t="s">
        <v>96</v>
      </c>
      <c r="B246" s="43" t="s">
        <v>97</v>
      </c>
      <c r="C246" s="43" t="s">
        <v>98</v>
      </c>
      <c r="D246" s="43" t="s">
        <v>838</v>
      </c>
      <c r="E246" s="43" t="s">
        <v>808</v>
      </c>
      <c r="F246" s="43" t="s">
        <v>839</v>
      </c>
      <c r="G246" s="43" t="s">
        <v>840</v>
      </c>
      <c r="H246" s="43"/>
      <c r="I246" s="44" t="s">
        <v>103</v>
      </c>
      <c r="J246" s="10"/>
      <c r="K246" s="10"/>
      <c r="L246" s="10"/>
      <c r="M246" s="47" t="str">
        <f t="shared" si="3"/>
        <v>not answered/error</v>
      </c>
      <c r="N246" s="43"/>
      <c r="O246" s="43"/>
      <c r="P246" s="43"/>
      <c r="Q246" s="10"/>
      <c r="R246" s="10"/>
      <c r="S246" s="10"/>
      <c r="T246" s="10"/>
      <c r="U246" s="10"/>
      <c r="V246" s="10"/>
      <c r="W246" s="10"/>
      <c r="X246" s="10"/>
      <c r="Y246" s="10"/>
      <c r="Z246" s="10"/>
      <c r="AA246" s="10"/>
      <c r="AB246" s="10"/>
    </row>
    <row r="247" spans="1:28" ht="187.2" x14ac:dyDescent="0.3">
      <c r="A247" s="43" t="s">
        <v>96</v>
      </c>
      <c r="B247" s="43" t="s">
        <v>97</v>
      </c>
      <c r="C247" s="43" t="s">
        <v>98</v>
      </c>
      <c r="D247" s="43" t="s">
        <v>841</v>
      </c>
      <c r="E247" s="43" t="s">
        <v>808</v>
      </c>
      <c r="F247" s="43" t="s">
        <v>842</v>
      </c>
      <c r="G247" s="43" t="s">
        <v>843</v>
      </c>
      <c r="H247" s="43"/>
      <c r="I247" s="44" t="s">
        <v>103</v>
      </c>
      <c r="J247" s="10"/>
      <c r="K247" s="10"/>
      <c r="L247" s="10"/>
      <c r="M247" s="47" t="str">
        <f t="shared" si="3"/>
        <v>not answered/error</v>
      </c>
      <c r="N247" s="43"/>
      <c r="O247" s="43"/>
      <c r="P247" s="43"/>
      <c r="Q247" s="10"/>
      <c r="R247" s="10"/>
      <c r="S247" s="10"/>
      <c r="T247" s="10"/>
      <c r="U247" s="10"/>
      <c r="V247" s="10"/>
      <c r="W247" s="10"/>
      <c r="X247" s="10"/>
      <c r="Y247" s="10"/>
      <c r="Z247" s="10"/>
      <c r="AA247" s="10"/>
      <c r="AB247" s="10"/>
    </row>
    <row r="248" spans="1:28" ht="201.6" x14ac:dyDescent="0.3">
      <c r="A248" s="43" t="s">
        <v>96</v>
      </c>
      <c r="B248" s="43" t="s">
        <v>97</v>
      </c>
      <c r="C248" s="43" t="s">
        <v>98</v>
      </c>
      <c r="D248" s="43" t="s">
        <v>844</v>
      </c>
      <c r="E248" s="43" t="s">
        <v>808</v>
      </c>
      <c r="F248" s="43" t="s">
        <v>845</v>
      </c>
      <c r="G248" s="43" t="s">
        <v>846</v>
      </c>
      <c r="H248" s="43"/>
      <c r="I248" s="44" t="s">
        <v>103</v>
      </c>
      <c r="J248" s="10"/>
      <c r="K248" s="10"/>
      <c r="L248" s="10"/>
      <c r="M248" s="47" t="str">
        <f t="shared" si="3"/>
        <v>not answered/error</v>
      </c>
      <c r="N248" s="43"/>
      <c r="O248" s="43"/>
      <c r="P248" s="43"/>
      <c r="Q248" s="10"/>
      <c r="R248" s="10"/>
      <c r="S248" s="10"/>
      <c r="T248" s="10"/>
      <c r="U248" s="10"/>
      <c r="V248" s="10"/>
      <c r="W248" s="10"/>
      <c r="X248" s="10"/>
      <c r="Y248" s="10"/>
      <c r="Z248" s="10"/>
      <c r="AA248" s="10"/>
      <c r="AB248" s="10"/>
    </row>
    <row r="249" spans="1:28" ht="345.6" x14ac:dyDescent="0.3">
      <c r="A249" s="43" t="s">
        <v>96</v>
      </c>
      <c r="B249" s="43" t="s">
        <v>97</v>
      </c>
      <c r="C249" s="43" t="s">
        <v>98</v>
      </c>
      <c r="D249" s="43" t="s">
        <v>847</v>
      </c>
      <c r="E249" s="43" t="s">
        <v>808</v>
      </c>
      <c r="F249" s="43" t="s">
        <v>848</v>
      </c>
      <c r="G249" s="43" t="s">
        <v>849</v>
      </c>
      <c r="H249" s="43"/>
      <c r="I249" s="44" t="s">
        <v>103</v>
      </c>
      <c r="J249" s="9"/>
      <c r="K249" s="9"/>
      <c r="L249" s="9"/>
      <c r="M249" s="47" t="str">
        <f t="shared" si="3"/>
        <v>not answered/error</v>
      </c>
      <c r="N249" s="43"/>
      <c r="O249" s="43"/>
      <c r="P249" s="43"/>
      <c r="Q249" s="10"/>
      <c r="R249" s="10"/>
      <c r="S249" s="10"/>
      <c r="T249" s="10"/>
      <c r="U249" s="10"/>
      <c r="V249" s="10"/>
      <c r="W249" s="10"/>
      <c r="X249" s="10"/>
      <c r="Y249" s="10"/>
      <c r="Z249" s="10"/>
      <c r="AA249" s="10"/>
      <c r="AB249" s="10"/>
    </row>
    <row r="250" spans="1:28" ht="72" x14ac:dyDescent="0.3">
      <c r="A250" s="43" t="s">
        <v>96</v>
      </c>
      <c r="B250" s="43" t="s">
        <v>97</v>
      </c>
      <c r="C250" s="43" t="s">
        <v>98</v>
      </c>
      <c r="D250" s="43" t="s">
        <v>850</v>
      </c>
      <c r="E250" s="43" t="s">
        <v>808</v>
      </c>
      <c r="F250" s="43" t="s">
        <v>851</v>
      </c>
      <c r="G250" s="43" t="s">
        <v>852</v>
      </c>
      <c r="H250" s="43"/>
      <c r="I250" s="44" t="s">
        <v>103</v>
      </c>
      <c r="J250" s="9"/>
      <c r="K250" s="9"/>
      <c r="L250" s="9"/>
      <c r="M250" s="47" t="str">
        <f t="shared" si="3"/>
        <v>not answered/error</v>
      </c>
      <c r="N250" s="43"/>
      <c r="O250" s="43"/>
      <c r="P250" s="43"/>
      <c r="Q250" s="10"/>
      <c r="R250" s="10"/>
      <c r="S250" s="10"/>
      <c r="T250" s="10"/>
      <c r="U250" s="10"/>
      <c r="V250" s="10"/>
      <c r="W250" s="10"/>
      <c r="X250" s="10"/>
      <c r="Y250" s="10"/>
      <c r="Z250" s="10"/>
      <c r="AA250" s="10"/>
      <c r="AB250" s="10"/>
    </row>
    <row r="251" spans="1:28" ht="409.6" x14ac:dyDescent="0.3">
      <c r="A251" s="43" t="s">
        <v>96</v>
      </c>
      <c r="B251" s="43" t="s">
        <v>97</v>
      </c>
      <c r="C251" s="43" t="s">
        <v>98</v>
      </c>
      <c r="D251" s="43" t="s">
        <v>853</v>
      </c>
      <c r="E251" s="43" t="s">
        <v>808</v>
      </c>
      <c r="F251" s="43" t="s">
        <v>854</v>
      </c>
      <c r="G251" s="43" t="s">
        <v>855</v>
      </c>
      <c r="H251" s="43"/>
      <c r="I251" s="44" t="s">
        <v>103</v>
      </c>
      <c r="J251" s="10"/>
      <c r="K251" s="10"/>
      <c r="L251" s="10"/>
      <c r="M251" s="47" t="str">
        <f t="shared" si="3"/>
        <v>not answered/error</v>
      </c>
      <c r="N251" s="43"/>
      <c r="O251" s="43"/>
      <c r="P251" s="43"/>
      <c r="Q251" s="10"/>
      <c r="R251" s="10"/>
      <c r="S251" s="10"/>
      <c r="T251" s="10"/>
      <c r="U251" s="10"/>
      <c r="V251" s="10"/>
      <c r="W251" s="10"/>
      <c r="X251" s="10"/>
      <c r="Y251" s="10"/>
      <c r="Z251" s="10"/>
      <c r="AA251" s="10"/>
      <c r="AB251" s="10"/>
    </row>
    <row r="252" spans="1:28" ht="172.8" x14ac:dyDescent="0.3">
      <c r="A252" s="43" t="s">
        <v>96</v>
      </c>
      <c r="B252" s="43" t="s">
        <v>97</v>
      </c>
      <c r="C252" s="43" t="s">
        <v>98</v>
      </c>
      <c r="D252" s="43" t="s">
        <v>856</v>
      </c>
      <c r="E252" s="43" t="s">
        <v>808</v>
      </c>
      <c r="F252" s="43" t="s">
        <v>857</v>
      </c>
      <c r="G252" s="43" t="s">
        <v>858</v>
      </c>
      <c r="H252" s="43"/>
      <c r="I252" s="44" t="s">
        <v>103</v>
      </c>
      <c r="J252" s="9"/>
      <c r="K252" s="9"/>
      <c r="L252" s="9"/>
      <c r="M252" s="47" t="str">
        <f t="shared" si="3"/>
        <v>not answered/error</v>
      </c>
      <c r="N252" s="43"/>
      <c r="O252" s="43"/>
      <c r="P252" s="43"/>
      <c r="Q252" s="10"/>
      <c r="R252" s="10"/>
      <c r="S252" s="10"/>
      <c r="T252" s="10"/>
      <c r="U252" s="10"/>
      <c r="V252" s="10"/>
      <c r="W252" s="10"/>
      <c r="X252" s="10"/>
      <c r="Y252" s="10"/>
      <c r="Z252" s="10"/>
      <c r="AA252" s="10"/>
      <c r="AB252" s="10"/>
    </row>
    <row r="253" spans="1:28" ht="360" x14ac:dyDescent="0.3">
      <c r="A253" s="43" t="s">
        <v>96</v>
      </c>
      <c r="B253" s="43" t="s">
        <v>97</v>
      </c>
      <c r="C253" s="43" t="s">
        <v>98</v>
      </c>
      <c r="D253" s="43" t="s">
        <v>859</v>
      </c>
      <c r="E253" s="43" t="s">
        <v>808</v>
      </c>
      <c r="F253" s="43" t="s">
        <v>860</v>
      </c>
      <c r="G253" s="43" t="s">
        <v>861</v>
      </c>
      <c r="H253" s="43"/>
      <c r="I253" s="44" t="s">
        <v>103</v>
      </c>
      <c r="J253" s="9"/>
      <c r="K253" s="9"/>
      <c r="L253" s="9"/>
      <c r="M253" s="47" t="str">
        <f t="shared" si="3"/>
        <v>not answered/error</v>
      </c>
      <c r="N253" s="43"/>
      <c r="O253" s="43"/>
      <c r="P253" s="43"/>
      <c r="Q253" s="10"/>
      <c r="R253" s="10"/>
      <c r="S253" s="10"/>
      <c r="T253" s="10"/>
      <c r="U253" s="10"/>
      <c r="V253" s="10"/>
      <c r="W253" s="10"/>
      <c r="X253" s="10"/>
      <c r="Y253" s="10"/>
      <c r="Z253" s="10"/>
      <c r="AA253" s="10"/>
      <c r="AB253" s="10"/>
    </row>
    <row r="254" spans="1:28" ht="100.8" x14ac:dyDescent="0.3">
      <c r="A254" s="43" t="s">
        <v>96</v>
      </c>
      <c r="B254" s="43" t="s">
        <v>97</v>
      </c>
      <c r="C254" s="43" t="s">
        <v>98</v>
      </c>
      <c r="D254" s="43" t="s">
        <v>862</v>
      </c>
      <c r="E254" s="43" t="s">
        <v>808</v>
      </c>
      <c r="F254" s="43" t="s">
        <v>863</v>
      </c>
      <c r="G254" s="43" t="s">
        <v>864</v>
      </c>
      <c r="H254" s="43"/>
      <c r="I254" s="44" t="s">
        <v>103</v>
      </c>
      <c r="J254" s="9"/>
      <c r="K254" s="9"/>
      <c r="L254" s="9"/>
      <c r="M254" s="47" t="str">
        <f t="shared" si="3"/>
        <v>not answered/error</v>
      </c>
      <c r="N254" s="43"/>
      <c r="O254" s="43"/>
      <c r="P254" s="43"/>
      <c r="Q254" s="10"/>
      <c r="R254" s="10"/>
      <c r="S254" s="10"/>
      <c r="T254" s="10"/>
      <c r="U254" s="10"/>
      <c r="V254" s="10"/>
      <c r="W254" s="10"/>
      <c r="X254" s="10"/>
      <c r="Y254" s="10"/>
      <c r="Z254" s="10"/>
      <c r="AA254" s="10"/>
      <c r="AB254" s="10"/>
    </row>
    <row r="255" spans="1:28" ht="129.6" x14ac:dyDescent="0.3">
      <c r="A255" s="43" t="s">
        <v>96</v>
      </c>
      <c r="B255" s="43" t="s">
        <v>97</v>
      </c>
      <c r="C255" s="43" t="s">
        <v>98</v>
      </c>
      <c r="D255" s="43" t="s">
        <v>865</v>
      </c>
      <c r="E255" s="43" t="s">
        <v>808</v>
      </c>
      <c r="F255" s="43" t="s">
        <v>866</v>
      </c>
      <c r="G255" s="43" t="s">
        <v>867</v>
      </c>
      <c r="H255" s="43"/>
      <c r="I255" s="44" t="s">
        <v>103</v>
      </c>
      <c r="J255" s="9"/>
      <c r="K255" s="9"/>
      <c r="L255" s="9"/>
      <c r="M255" s="47" t="str">
        <f t="shared" si="3"/>
        <v>not answered/error</v>
      </c>
      <c r="N255" s="43"/>
      <c r="O255" s="43"/>
      <c r="P255" s="43"/>
      <c r="Q255" s="10"/>
      <c r="R255" s="10"/>
      <c r="S255" s="10"/>
      <c r="T255" s="10"/>
      <c r="U255" s="10"/>
      <c r="V255" s="10"/>
      <c r="W255" s="10"/>
      <c r="X255" s="10"/>
      <c r="Y255" s="10"/>
      <c r="Z255" s="10"/>
      <c r="AA255" s="10"/>
      <c r="AB255" s="10"/>
    </row>
    <row r="256" spans="1:28" ht="273.60000000000002" x14ac:dyDescent="0.3">
      <c r="A256" s="43" t="s">
        <v>96</v>
      </c>
      <c r="B256" s="43" t="s">
        <v>97</v>
      </c>
      <c r="C256" s="43" t="s">
        <v>98</v>
      </c>
      <c r="D256" s="43" t="s">
        <v>868</v>
      </c>
      <c r="E256" s="43" t="s">
        <v>808</v>
      </c>
      <c r="F256" s="43" t="s">
        <v>869</v>
      </c>
      <c r="G256" s="43" t="s">
        <v>870</v>
      </c>
      <c r="H256" s="43"/>
      <c r="I256" s="44" t="s">
        <v>103</v>
      </c>
      <c r="J256" s="10"/>
      <c r="K256" s="10"/>
      <c r="L256" s="10"/>
      <c r="M256" s="47" t="str">
        <f t="shared" si="3"/>
        <v>not answered/error</v>
      </c>
      <c r="N256" s="43"/>
      <c r="O256" s="43"/>
      <c r="P256" s="43"/>
      <c r="Q256" s="10"/>
      <c r="R256" s="10"/>
      <c r="S256" s="10"/>
      <c r="T256" s="10"/>
      <c r="U256" s="10"/>
      <c r="V256" s="10"/>
      <c r="W256" s="10"/>
      <c r="X256" s="10"/>
      <c r="Y256" s="10"/>
      <c r="Z256" s="10"/>
      <c r="AA256" s="10"/>
      <c r="AB256" s="10"/>
    </row>
    <row r="257" spans="1:28" ht="244.8" x14ac:dyDescent="0.3">
      <c r="A257" s="43" t="s">
        <v>96</v>
      </c>
      <c r="B257" s="43" t="s">
        <v>97</v>
      </c>
      <c r="C257" s="43" t="s">
        <v>98</v>
      </c>
      <c r="D257" s="43" t="s">
        <v>871</v>
      </c>
      <c r="E257" s="43" t="s">
        <v>808</v>
      </c>
      <c r="F257" s="43" t="s">
        <v>872</v>
      </c>
      <c r="G257" s="43" t="s">
        <v>873</v>
      </c>
      <c r="H257" s="43"/>
      <c r="I257" s="44" t="s">
        <v>103</v>
      </c>
      <c r="J257" s="9"/>
      <c r="K257" s="9"/>
      <c r="L257" s="9"/>
      <c r="M257" s="47" t="str">
        <f t="shared" si="3"/>
        <v>not answered/error</v>
      </c>
      <c r="N257" s="43"/>
      <c r="O257" s="43"/>
      <c r="P257" s="43"/>
      <c r="Q257" s="10"/>
      <c r="R257" s="10"/>
      <c r="S257" s="10"/>
      <c r="T257" s="10"/>
      <c r="U257" s="10"/>
      <c r="V257" s="10"/>
      <c r="W257" s="10"/>
      <c r="X257" s="10"/>
      <c r="Y257" s="10"/>
      <c r="Z257" s="10"/>
      <c r="AA257" s="10"/>
      <c r="AB257" s="10"/>
    </row>
    <row r="258" spans="1:28" ht="273.60000000000002" x14ac:dyDescent="0.3">
      <c r="A258" s="43" t="s">
        <v>96</v>
      </c>
      <c r="B258" s="43" t="s">
        <v>97</v>
      </c>
      <c r="C258" s="43" t="s">
        <v>98</v>
      </c>
      <c r="D258" s="43" t="s">
        <v>874</v>
      </c>
      <c r="E258" s="43" t="s">
        <v>808</v>
      </c>
      <c r="F258" s="43" t="s">
        <v>875</v>
      </c>
      <c r="G258" s="43" t="s">
        <v>876</v>
      </c>
      <c r="H258" s="43"/>
      <c r="I258" s="44" t="s">
        <v>103</v>
      </c>
      <c r="J258" s="9"/>
      <c r="K258" s="9"/>
      <c r="L258" s="9"/>
      <c r="M258" s="47" t="str">
        <f t="shared" si="3"/>
        <v>not answered/error</v>
      </c>
      <c r="N258" s="43"/>
      <c r="O258" s="43"/>
      <c r="P258" s="43"/>
      <c r="Q258" s="10"/>
      <c r="R258" s="10"/>
      <c r="S258" s="10"/>
      <c r="T258" s="10"/>
      <c r="U258" s="10"/>
      <c r="V258" s="10"/>
      <c r="W258" s="10"/>
      <c r="X258" s="10"/>
      <c r="Y258" s="10"/>
      <c r="Z258" s="10"/>
      <c r="AA258" s="10"/>
      <c r="AB258" s="10"/>
    </row>
    <row r="259" spans="1:28" ht="115.2" x14ac:dyDescent="0.3">
      <c r="A259" s="43" t="s">
        <v>96</v>
      </c>
      <c r="B259" s="43" t="s">
        <v>97</v>
      </c>
      <c r="C259" s="43" t="s">
        <v>98</v>
      </c>
      <c r="D259" s="43" t="s">
        <v>877</v>
      </c>
      <c r="E259" s="43" t="s">
        <v>808</v>
      </c>
      <c r="F259" s="43" t="s">
        <v>878</v>
      </c>
      <c r="G259" s="43" t="s">
        <v>879</v>
      </c>
      <c r="H259" s="43"/>
      <c r="I259" s="44" t="s">
        <v>103</v>
      </c>
      <c r="J259" s="9"/>
      <c r="K259" s="9"/>
      <c r="L259" s="9"/>
      <c r="M259" s="47" t="str">
        <f t="shared" si="3"/>
        <v>not answered/error</v>
      </c>
      <c r="N259" s="43"/>
      <c r="O259" s="43"/>
      <c r="P259" s="43"/>
      <c r="Q259" s="10"/>
      <c r="R259" s="10"/>
      <c r="S259" s="10"/>
      <c r="T259" s="10"/>
      <c r="U259" s="10"/>
      <c r="V259" s="10"/>
      <c r="W259" s="10"/>
      <c r="X259" s="10"/>
      <c r="Y259" s="10"/>
      <c r="Z259" s="10"/>
      <c r="AA259" s="10"/>
      <c r="AB259" s="10"/>
    </row>
    <row r="260" spans="1:28" ht="100.8" x14ac:dyDescent="0.3">
      <c r="A260" s="43" t="s">
        <v>96</v>
      </c>
      <c r="B260" s="43" t="s">
        <v>97</v>
      </c>
      <c r="C260" s="43" t="s">
        <v>98</v>
      </c>
      <c r="D260" s="43" t="s">
        <v>880</v>
      </c>
      <c r="E260" s="43" t="s">
        <v>808</v>
      </c>
      <c r="F260" s="43" t="s">
        <v>881</v>
      </c>
      <c r="G260" s="43" t="s">
        <v>882</v>
      </c>
      <c r="H260" s="43"/>
      <c r="I260" s="44" t="s">
        <v>103</v>
      </c>
      <c r="J260" s="9"/>
      <c r="K260" s="9"/>
      <c r="L260" s="9"/>
      <c r="M260" s="47" t="str">
        <f t="shared" si="3"/>
        <v>not answered/error</v>
      </c>
      <c r="N260" s="43"/>
      <c r="O260" s="43"/>
      <c r="P260" s="43"/>
      <c r="Q260" s="10"/>
      <c r="R260" s="10"/>
      <c r="S260" s="10"/>
      <c r="T260" s="10"/>
      <c r="U260" s="10"/>
      <c r="V260" s="10"/>
      <c r="W260" s="10"/>
      <c r="X260" s="10"/>
      <c r="Y260" s="10"/>
      <c r="Z260" s="10"/>
      <c r="AA260" s="10"/>
      <c r="AB260" s="10"/>
    </row>
    <row r="261" spans="1:28" ht="57.6" x14ac:dyDescent="0.3">
      <c r="A261" s="43" t="s">
        <v>96</v>
      </c>
      <c r="B261" s="43" t="s">
        <v>97</v>
      </c>
      <c r="C261" s="43" t="s">
        <v>98</v>
      </c>
      <c r="D261" s="43" t="s">
        <v>883</v>
      </c>
      <c r="E261" s="43" t="s">
        <v>808</v>
      </c>
      <c r="F261" s="43" t="s">
        <v>884</v>
      </c>
      <c r="G261" s="43" t="s">
        <v>885</v>
      </c>
      <c r="H261" s="43"/>
      <c r="I261" s="44" t="s">
        <v>103</v>
      </c>
      <c r="J261" s="9"/>
      <c r="K261" s="9"/>
      <c r="L261" s="9"/>
      <c r="M261" s="47" t="str">
        <f t="shared" si="3"/>
        <v>not answered/error</v>
      </c>
      <c r="N261" s="43"/>
      <c r="O261" s="43"/>
      <c r="P261" s="43"/>
      <c r="Q261" s="10"/>
      <c r="R261" s="10"/>
      <c r="S261" s="10"/>
      <c r="T261" s="10"/>
      <c r="U261" s="10"/>
      <c r="V261" s="10"/>
      <c r="W261" s="10"/>
      <c r="X261" s="10"/>
      <c r="Y261" s="10"/>
      <c r="Z261" s="10"/>
      <c r="AA261" s="10"/>
      <c r="AB261" s="10"/>
    </row>
    <row r="262" spans="1:28" ht="187.2" x14ac:dyDescent="0.3">
      <c r="A262" s="43" t="s">
        <v>96</v>
      </c>
      <c r="B262" s="43" t="s">
        <v>97</v>
      </c>
      <c r="C262" s="43" t="s">
        <v>98</v>
      </c>
      <c r="D262" s="43" t="s">
        <v>886</v>
      </c>
      <c r="E262" s="43" t="s">
        <v>808</v>
      </c>
      <c r="F262" s="43" t="s">
        <v>887</v>
      </c>
      <c r="G262" s="43" t="s">
        <v>888</v>
      </c>
      <c r="H262" s="43"/>
      <c r="I262" s="44" t="s">
        <v>103</v>
      </c>
      <c r="J262" s="9"/>
      <c r="K262" s="9"/>
      <c r="L262" s="9"/>
      <c r="M262" s="47" t="str">
        <f t="shared" si="3"/>
        <v>not answered/error</v>
      </c>
      <c r="N262" s="43"/>
      <c r="O262" s="43"/>
      <c r="P262" s="43"/>
      <c r="Q262" s="10"/>
      <c r="R262" s="10"/>
      <c r="S262" s="10"/>
      <c r="T262" s="10"/>
      <c r="U262" s="10"/>
      <c r="V262" s="10"/>
      <c r="W262" s="10"/>
      <c r="X262" s="10"/>
      <c r="Y262" s="10"/>
      <c r="Z262" s="10"/>
      <c r="AA262" s="10"/>
      <c r="AB262" s="10"/>
    </row>
    <row r="263" spans="1:28" ht="187.2" x14ac:dyDescent="0.3">
      <c r="A263" s="43" t="s">
        <v>96</v>
      </c>
      <c r="B263" s="43" t="s">
        <v>97</v>
      </c>
      <c r="C263" s="43" t="s">
        <v>98</v>
      </c>
      <c r="D263" s="43" t="s">
        <v>889</v>
      </c>
      <c r="E263" s="43" t="s">
        <v>808</v>
      </c>
      <c r="F263" s="43" t="s">
        <v>890</v>
      </c>
      <c r="G263" s="43" t="s">
        <v>891</v>
      </c>
      <c r="H263" s="43"/>
      <c r="I263" s="44" t="s">
        <v>103</v>
      </c>
      <c r="J263" s="10"/>
      <c r="K263" s="10"/>
      <c r="L263" s="10"/>
      <c r="M263" s="47" t="str">
        <f t="shared" si="3"/>
        <v>not answered/error</v>
      </c>
      <c r="N263" s="43"/>
      <c r="O263" s="43"/>
      <c r="P263" s="43"/>
      <c r="Q263" s="10"/>
      <c r="R263" s="10"/>
      <c r="S263" s="10"/>
      <c r="T263" s="10"/>
      <c r="U263" s="10"/>
      <c r="V263" s="10"/>
      <c r="W263" s="10"/>
      <c r="X263" s="10"/>
      <c r="Y263" s="10"/>
      <c r="Z263" s="10"/>
      <c r="AA263" s="10"/>
      <c r="AB263" s="10"/>
    </row>
    <row r="264" spans="1:28" ht="72" x14ac:dyDescent="0.3">
      <c r="A264" s="43" t="s">
        <v>96</v>
      </c>
      <c r="B264" s="43" t="s">
        <v>97</v>
      </c>
      <c r="C264" s="43" t="s">
        <v>98</v>
      </c>
      <c r="D264" s="43" t="s">
        <v>892</v>
      </c>
      <c r="E264" s="43" t="s">
        <v>808</v>
      </c>
      <c r="F264" s="43" t="s">
        <v>893</v>
      </c>
      <c r="G264" s="43" t="s">
        <v>894</v>
      </c>
      <c r="H264" s="43"/>
      <c r="I264" s="44" t="s">
        <v>103</v>
      </c>
      <c r="J264" s="9"/>
      <c r="K264" s="9"/>
      <c r="L264" s="9"/>
      <c r="M264" s="47" t="str">
        <f t="shared" si="3"/>
        <v>not answered/error</v>
      </c>
      <c r="N264" s="43"/>
      <c r="O264" s="43"/>
      <c r="P264" s="43"/>
      <c r="Q264" s="10"/>
      <c r="R264" s="10"/>
      <c r="S264" s="10"/>
      <c r="T264" s="10"/>
      <c r="U264" s="10"/>
      <c r="V264" s="10"/>
      <c r="W264" s="10"/>
      <c r="X264" s="10"/>
      <c r="Y264" s="10"/>
      <c r="Z264" s="10"/>
      <c r="AA264" s="10"/>
      <c r="AB264" s="10"/>
    </row>
    <row r="265" spans="1:28" ht="158.4" x14ac:dyDescent="0.3">
      <c r="A265" s="43" t="s">
        <v>96</v>
      </c>
      <c r="B265" s="43" t="s">
        <v>97</v>
      </c>
      <c r="C265" s="43" t="s">
        <v>98</v>
      </c>
      <c r="D265" s="43" t="s">
        <v>895</v>
      </c>
      <c r="E265" s="43" t="s">
        <v>808</v>
      </c>
      <c r="F265" s="43" t="s">
        <v>896</v>
      </c>
      <c r="G265" s="43" t="s">
        <v>897</v>
      </c>
      <c r="H265" s="43"/>
      <c r="I265" s="44" t="s">
        <v>103</v>
      </c>
      <c r="J265" s="9"/>
      <c r="K265" s="9"/>
      <c r="L265" s="9"/>
      <c r="M265" s="47" t="str">
        <f t="shared" si="3"/>
        <v>not answered/error</v>
      </c>
      <c r="N265" s="43"/>
      <c r="O265" s="43"/>
      <c r="P265" s="43"/>
      <c r="Q265" s="10"/>
      <c r="R265" s="10"/>
      <c r="S265" s="10"/>
      <c r="T265" s="10"/>
      <c r="U265" s="10"/>
      <c r="V265" s="10"/>
      <c r="W265" s="10"/>
      <c r="X265" s="10"/>
      <c r="Y265" s="10"/>
      <c r="Z265" s="10"/>
      <c r="AA265" s="10"/>
      <c r="AB265" s="10"/>
    </row>
    <row r="266" spans="1:28" ht="100.8" x14ac:dyDescent="0.3">
      <c r="A266" s="43" t="s">
        <v>96</v>
      </c>
      <c r="B266" s="43" t="s">
        <v>97</v>
      </c>
      <c r="C266" s="43" t="s">
        <v>98</v>
      </c>
      <c r="D266" s="43" t="s">
        <v>898</v>
      </c>
      <c r="E266" s="43" t="s">
        <v>808</v>
      </c>
      <c r="F266" s="43" t="s">
        <v>899</v>
      </c>
      <c r="G266" s="43" t="s">
        <v>900</v>
      </c>
      <c r="H266" s="43"/>
      <c r="I266" s="44" t="s">
        <v>103</v>
      </c>
      <c r="J266" s="10"/>
      <c r="K266" s="10"/>
      <c r="L266" s="10"/>
      <c r="M266" s="47" t="str">
        <f t="shared" ref="M266" si="4">IF(AND(J266&lt;&gt;"",ISBLANK(K266),ISBLANK(L266)),"Yes",IF(AND(K266&lt;&gt;"",ISBLANK(J266),ISBLANK(L266)),"No",IF(AND(L266&lt;&gt;"",ISBLANK(J266),ISBLANK(K266)),"N/A","not answered/error")))</f>
        <v>not answered/error</v>
      </c>
      <c r="N266" s="43"/>
      <c r="O266" s="43"/>
      <c r="P266" s="43"/>
      <c r="Q266" s="10"/>
      <c r="R266" s="10"/>
      <c r="S266" s="10"/>
      <c r="T266" s="10"/>
      <c r="U266" s="10"/>
      <c r="V266" s="10"/>
      <c r="W266" s="10"/>
      <c r="X266" s="10"/>
      <c r="Y266" s="10"/>
      <c r="Z266" s="10"/>
      <c r="AA266" s="10"/>
      <c r="AB266" s="10"/>
    </row>
  </sheetData>
  <sheetProtection algorithmName="SHA-512" hashValue="EL953OuULgWv8SQyevrqI7B7mi51Y6UiVMFXX/nXye0S4iHDJO4VhlmiouSJUqKm7V8L6BP3INzjQH0/JcbC+g==" saltValue="+sCmYyijso58J5Eq708ZyQ==" spinCount="100000" sheet="1" formatCells="0" formatColumns="0" formatRows="0" sort="0" autoFilter="0"/>
  <autoFilter ref="A9:R266" xr:uid="{00000000-0009-0000-0000-000003000000}"/>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K284"/>
  <sheetViews>
    <sheetView zoomScale="90" zoomScaleNormal="90" workbookViewId="0">
      <pane ySplit="5" topLeftCell="A6" activePane="bottomLeft" state="frozen"/>
      <selection pane="bottomLeft" activeCell="G11" sqref="G11"/>
    </sheetView>
  </sheetViews>
  <sheetFormatPr defaultColWidth="8.88671875" defaultRowHeight="14.4" x14ac:dyDescent="0.3"/>
  <cols>
    <col min="1" max="11" width="25.109375" style="2" customWidth="1" collapsed="1"/>
    <col min="12" max="16384" width="8.88671875" style="2"/>
  </cols>
  <sheetData>
    <row r="2" spans="1:11" x14ac:dyDescent="0.3">
      <c r="A2" s="8"/>
      <c r="B2" s="8"/>
      <c r="C2" s="8"/>
      <c r="D2" s="8"/>
      <c r="E2" s="8"/>
      <c r="F2" s="8"/>
      <c r="G2" s="8"/>
      <c r="H2" s="8"/>
      <c r="I2" s="8"/>
      <c r="J2" s="8"/>
      <c r="K2" s="8"/>
    </row>
    <row r="3" spans="1:11" x14ac:dyDescent="0.3">
      <c r="A3" s="8" t="s">
        <v>5</v>
      </c>
      <c r="B3" s="8"/>
      <c r="C3" s="8"/>
      <c r="D3" s="8"/>
      <c r="E3" s="8" t="s">
        <v>4</v>
      </c>
      <c r="F3" s="8"/>
      <c r="G3" s="8"/>
      <c r="H3" s="8"/>
      <c r="I3" s="8"/>
      <c r="J3" s="8"/>
      <c r="K3" s="8"/>
    </row>
    <row r="4" spans="1:11" x14ac:dyDescent="0.3">
      <c r="A4" s="8" t="s">
        <v>901</v>
      </c>
      <c r="B4" s="8"/>
      <c r="C4" s="8"/>
      <c r="D4" s="8"/>
      <c r="E4" s="8" t="s">
        <v>6</v>
      </c>
      <c r="F4" s="8"/>
      <c r="G4" s="8"/>
      <c r="H4" s="8"/>
      <c r="I4" s="8"/>
      <c r="J4" s="8"/>
      <c r="K4" s="8"/>
    </row>
    <row r="5" spans="1:11" x14ac:dyDescent="0.3">
      <c r="A5" s="24" t="s">
        <v>81</v>
      </c>
      <c r="B5" s="24" t="s">
        <v>86</v>
      </c>
      <c r="C5" s="24" t="s">
        <v>902</v>
      </c>
      <c r="D5" s="24" t="s">
        <v>94</v>
      </c>
      <c r="E5" s="24" t="s">
        <v>95</v>
      </c>
      <c r="F5" s="24" t="s">
        <v>903</v>
      </c>
      <c r="G5" s="24" t="s">
        <v>904</v>
      </c>
      <c r="H5" s="24" t="s">
        <v>905</v>
      </c>
      <c r="I5" s="24" t="s">
        <v>906</v>
      </c>
      <c r="J5" s="24" t="s">
        <v>907</v>
      </c>
      <c r="K5" s="24" t="s">
        <v>908</v>
      </c>
    </row>
    <row r="6" spans="1:11" ht="86.4" x14ac:dyDescent="0.3">
      <c r="A6" s="25" t="str">
        <f>'CL - IFA v6 Smart - AQ'!D10</f>
        <v>AQ-Smart 01.01.01</v>
      </c>
      <c r="B6" s="25" t="str">
        <f>'CL - IFA v6 Smart - AQ'!I10</f>
        <v>Major Must</v>
      </c>
      <c r="C6" s="25" t="str">
        <f>IF('CL - IFA v6 Smart - AQ'!M10 = 0,"",'CL - IFA v6 Smart - AQ'!M10)</f>
        <v>not answered/error</v>
      </c>
      <c r="D6" s="25" t="str">
        <f>IF('CL - IFA v6 Smart - AQ'!Q10 = 0, "",'CL - IFA v6 Smart - AQ'!Q10)</f>
        <v xml:space="preserve">Confirmation that a map is available and that it clearly identifies all sites. 
If physical signs are in place, this shall be recorded. </v>
      </c>
      <c r="E6" s="26" t="str">
        <f>IF('CL - IFA v6 Smart - AQ'!R10 = 0,"",'CL - IFA v6 Smart - AQ'!R10)</f>
        <v/>
      </c>
      <c r="F6" s="1"/>
      <c r="G6" s="1"/>
      <c r="H6" s="25" t="str">
        <f>IF('Audit Result'!C6 = "No", IF('Audit Result'!G6 = "x", "Closed", "Open"), "")</f>
        <v/>
      </c>
      <c r="I6" s="1"/>
      <c r="J6" s="1"/>
      <c r="K6" s="1"/>
    </row>
    <row r="7" spans="1:11" ht="43.2" x14ac:dyDescent="0.3">
      <c r="A7" s="25" t="str">
        <f>'CL - IFA v6 Smart - AQ'!D11</f>
        <v>AQ-Smart 01.01.02</v>
      </c>
      <c r="B7" s="25" t="str">
        <f>'CL - IFA v6 Smart - AQ'!I11</f>
        <v>Major Must</v>
      </c>
      <c r="C7" s="25" t="str">
        <f>IF('CL - IFA v6 Smart - AQ'!M11 = 0,"",'CL - IFA v6 Smart - AQ'!M11)</f>
        <v>not answered/error</v>
      </c>
      <c r="D7" s="25" t="str">
        <f>IF('CL - IFA v6 Smart - AQ'!Q11 = 0, "",'CL - IFA v6 Smart - AQ'!Q11)</f>
        <v xml:space="preserve">Identification of the site and the period where all history of activities were revised. </v>
      </c>
      <c r="E7" s="26" t="str">
        <f>IF('CL - IFA v6 Smart - AQ'!R11 = 0,"",'CL - IFA v6 Smart - AQ'!R11)</f>
        <v/>
      </c>
      <c r="F7" s="1"/>
      <c r="G7" s="1"/>
      <c r="H7" s="25" t="str">
        <f>IF('Audit Result'!C7 = "No", IF('Audit Result'!G7 = "x", "Closed", "Open"), "")</f>
        <v/>
      </c>
      <c r="I7" s="1"/>
      <c r="J7" s="1"/>
      <c r="K7" s="1"/>
    </row>
    <row r="8" spans="1:11" ht="230.4" x14ac:dyDescent="0.3">
      <c r="A8" s="25" t="str">
        <f>'CL - IFA v6 Smart - AQ'!D12</f>
        <v>AQ-Smart 01.02.01</v>
      </c>
      <c r="B8" s="25" t="str">
        <f>'CL - IFA v6 Smart - AQ'!I12</f>
        <v>Major Must</v>
      </c>
      <c r="C8" s="25" t="str">
        <f>IF('CL - IFA v6 Smart - AQ'!M12 = 0,"",'CL - IFA v6 Smart - AQ'!M12)</f>
        <v>not answered/error</v>
      </c>
      <c r="D8" s="25" t="str">
        <f>IF('CL - IFA v6 Smart - AQ'!Q12 = 0, "",'CL - IFA v6 Smart - AQ'!Q12)</f>
        <v xml:space="preserve">A documented risk assessment is available with a  list   A list of all activities potentially affecting the aquaculture farm:
potential physical, chemical (including allergens), and biological hazards. 
Document identification 
name:
code:
revision: 
date:
</v>
      </c>
      <c r="E8" s="26" t="str">
        <f>IF('CL - IFA v6 Smart - AQ'!R12 = 0,"",'CL - IFA v6 Smart - AQ'!R12)</f>
        <v/>
      </c>
      <c r="F8" s="1"/>
      <c r="G8" s="1"/>
      <c r="H8" s="25" t="str">
        <f>IF('Audit Result'!C8 = "No", IF('Audit Result'!G8 = "x", "Closed", "Open"), "")</f>
        <v/>
      </c>
      <c r="I8" s="1"/>
      <c r="J8" s="1"/>
      <c r="K8" s="1"/>
    </row>
    <row r="9" spans="1:11" ht="144" x14ac:dyDescent="0.3">
      <c r="A9" s="25" t="str">
        <f>'CL - IFA v6 Smart - AQ'!D13</f>
        <v>AQ-Smart 01.02.02</v>
      </c>
      <c r="B9" s="25" t="str">
        <f>'CL - IFA v6 Smart - AQ'!I13</f>
        <v>Major Must</v>
      </c>
      <c r="C9" s="25" t="str">
        <f>IF('CL - IFA v6 Smart - AQ'!M13 = 0,"",'CL - IFA v6 Smart - AQ'!M13)</f>
        <v>not answered/error</v>
      </c>
      <c r="D9" s="25" t="str">
        <f>IF('CL - IFA v6 Smart - AQ'!Q13 = 0, "",'CL - IFA v6 Smart - AQ'!Q13)</f>
        <v xml:space="preserve">A management pla address the risks identified in AQ 01.02.01. 
Document identification 
name:
code:
revision: 
date:
</v>
      </c>
      <c r="E9" s="26" t="str">
        <f>IF('CL - IFA v6 Smart - AQ'!R13 = 0,"",'CL - IFA v6 Smart - AQ'!R13)</f>
        <v/>
      </c>
      <c r="F9" s="1"/>
      <c r="G9" s="1"/>
      <c r="H9" s="25" t="str">
        <f>IF('Audit Result'!C9 = "No", IF('Audit Result'!G9 = "x", "Closed", "Open"), "")</f>
        <v/>
      </c>
      <c r="I9" s="1"/>
      <c r="J9" s="1"/>
      <c r="K9" s="1"/>
    </row>
    <row r="10" spans="1:11" x14ac:dyDescent="0.3">
      <c r="A10" s="25" t="str">
        <f>'CL - IFA v6 Smart - AQ'!D14</f>
        <v>AQ-Smart 01.02.03</v>
      </c>
      <c r="B10" s="25" t="str">
        <f>'CL - IFA v6 Smart - AQ'!I14</f>
        <v>Major Must</v>
      </c>
      <c r="C10" s="25" t="str">
        <f>IF('CL - IFA v6 Smart - AQ'!M14 = 0,"",'CL - IFA v6 Smart - AQ'!M14)</f>
        <v>not answered/error</v>
      </c>
      <c r="D10" s="25" t="str">
        <f>IF('CL - IFA v6 Smart - AQ'!Q14 = 0, "",'CL - IFA v6 Smart - AQ'!Q14)</f>
        <v/>
      </c>
      <c r="E10" s="26" t="str">
        <f>IF('CL - IFA v6 Smart - AQ'!R14 = 0,"",'CL - IFA v6 Smart - AQ'!R14)</f>
        <v/>
      </c>
      <c r="F10" s="1"/>
      <c r="G10" s="1"/>
      <c r="H10" s="25" t="str">
        <f>IF('Audit Result'!C10 = "No", IF('Audit Result'!G10 = "x", "Closed", "Open"), "")</f>
        <v/>
      </c>
      <c r="I10" s="1"/>
      <c r="J10" s="1"/>
      <c r="K10" s="1"/>
    </row>
    <row r="11" spans="1:11" x14ac:dyDescent="0.3">
      <c r="A11" s="25" t="str">
        <f>'CL - IFA v6 Smart - AQ'!D15</f>
        <v>AQ-Smart 01.03.01</v>
      </c>
      <c r="B11" s="25" t="str">
        <f>'CL - IFA v6 Smart - AQ'!I15</f>
        <v>Major Must</v>
      </c>
      <c r="C11" s="25" t="str">
        <f>IF('CL - IFA v6 Smart - AQ'!M15 = 0,"",'CL - IFA v6 Smart - AQ'!M15)</f>
        <v>not answered/error</v>
      </c>
      <c r="D11" s="25" t="str">
        <f>IF('CL - IFA v6 Smart - AQ'!Q15 = 0, "",'CL - IFA v6 Smart - AQ'!Q15)</f>
        <v/>
      </c>
      <c r="E11" s="26" t="str">
        <f>IF('CL - IFA v6 Smart - AQ'!R15 = 0,"",'CL - IFA v6 Smart - AQ'!R15)</f>
        <v/>
      </c>
      <c r="F11" s="1"/>
      <c r="G11" s="1"/>
      <c r="H11" s="25" t="str">
        <f>IF('Audit Result'!C11 = "No", IF('Audit Result'!G11 = "x", "Closed", "Open"), "")</f>
        <v/>
      </c>
      <c r="I11" s="1"/>
      <c r="J11" s="1"/>
      <c r="K11" s="1"/>
    </row>
    <row r="12" spans="1:11" ht="129.6" x14ac:dyDescent="0.3">
      <c r="A12" s="25" t="str">
        <f>'CL - IFA v6 Smart - AQ'!D16</f>
        <v>AQ-Smart 01.03.02</v>
      </c>
      <c r="B12" s="25" t="str">
        <f>'CL - IFA v6 Smart - AQ'!I16</f>
        <v>Major Must</v>
      </c>
      <c r="C12" s="25" t="str">
        <f>IF('CL - IFA v6 Smart - AQ'!M16 = 0,"",'CL - IFA v6 Smart - AQ'!M16)</f>
        <v>not answered/error</v>
      </c>
      <c r="D12" s="25" t="str">
        <f>IF('CL - IFA v6 Smart - AQ'!Q16 = 0, "",'CL - IFA v6 Smart - AQ'!Q16)</f>
        <v>Document identification 
name/type of licence: 
code:
revision: 
date:
institution that issue the license:
Date of validity of the license/permit.</v>
      </c>
      <c r="E12" s="26" t="str">
        <f>IF('CL - IFA v6 Smart - AQ'!R16 = 0,"",'CL - IFA v6 Smart - AQ'!R16)</f>
        <v/>
      </c>
      <c r="F12" s="1"/>
      <c r="G12" s="1"/>
      <c r="H12" s="25" t="str">
        <f>IF('Audit Result'!C12 = "No", IF('Audit Result'!G12 = "x", "Closed", "Open"), "")</f>
        <v/>
      </c>
      <c r="I12" s="1"/>
      <c r="J12" s="1"/>
      <c r="K12" s="1"/>
    </row>
    <row r="13" spans="1:11" ht="100.8" x14ac:dyDescent="0.3">
      <c r="A13" s="25" t="str">
        <f>'CL - IFA v6 Smart - AQ'!D17</f>
        <v>AQ-Smart 02.01</v>
      </c>
      <c r="B13" s="25" t="str">
        <f>'CL - IFA v6 Smart - AQ'!I17</f>
        <v>Major Must</v>
      </c>
      <c r="C13" s="25" t="str">
        <f>IF('CL - IFA v6 Smart - AQ'!M17 = 0,"",'CL - IFA v6 Smart - AQ'!M17)</f>
        <v>not answered/error</v>
      </c>
      <c r="D13" s="25" t="str">
        <f>IF('CL - IFA v6 Smart - AQ'!Q17 = 0, "",'CL - IFA v6 Smart - AQ'!Q17)</f>
        <v>all records verified show as a minimum three months of recording.  Example:
XXXXXXXXXXX
For consecutive audits, report: "Consecutive audit."</v>
      </c>
      <c r="E13" s="26" t="str">
        <f>IF('CL - IFA v6 Smart - AQ'!R17 = 0,"",'CL - IFA v6 Smart - AQ'!R17)</f>
        <v/>
      </c>
      <c r="F13" s="1"/>
      <c r="G13" s="1"/>
      <c r="H13" s="25" t="str">
        <f>IF('Audit Result'!C13 = "No", IF('Audit Result'!G13 = "x", "Closed", "Open"), "")</f>
        <v/>
      </c>
      <c r="I13" s="1"/>
      <c r="J13" s="1"/>
      <c r="K13" s="1"/>
    </row>
    <row r="14" spans="1:11" ht="72" x14ac:dyDescent="0.3">
      <c r="A14" s="25" t="str">
        <f>'CL - IFA v6 Smart - AQ'!D18</f>
        <v>AQ-Smart 02.02</v>
      </c>
      <c r="B14" s="25" t="str">
        <f>'CL - IFA v6 Smart - AQ'!I18</f>
        <v>Major Must</v>
      </c>
      <c r="C14" s="25" t="str">
        <f>IF('CL - IFA v6 Smart - AQ'!M18 = 0,"",'CL - IFA v6 Smart - AQ'!M18)</f>
        <v>not answered/error</v>
      </c>
      <c r="D14" s="25" t="str">
        <f>IF('CL - IFA v6 Smart - AQ'!Q18 = 0, "",'CL - IFA v6 Smart - AQ'!Q18)</f>
        <v>Document identification 
name:
code:
revision: 
date:</v>
      </c>
      <c r="E14" s="26" t="str">
        <f>IF('CL - IFA v6 Smart - AQ'!R18 = 0,"",'CL - IFA v6 Smart - AQ'!R18)</f>
        <v/>
      </c>
      <c r="F14" s="1"/>
      <c r="G14" s="1"/>
      <c r="H14" s="25" t="str">
        <f>IF('Audit Result'!C14 = "No", IF('Audit Result'!G14 = "x", "Closed", "Open"), "")</f>
        <v/>
      </c>
      <c r="I14" s="1"/>
      <c r="J14" s="1"/>
      <c r="K14" s="1"/>
    </row>
    <row r="15" spans="1:11" ht="72" x14ac:dyDescent="0.3">
      <c r="A15" s="25" t="str">
        <f>'CL - IFA v6 Smart - AQ'!D19</f>
        <v>AQ-Smart 02.03</v>
      </c>
      <c r="B15" s="25" t="str">
        <f>'CL - IFA v6 Smart - AQ'!I19</f>
        <v>Major Must</v>
      </c>
      <c r="C15" s="25" t="str">
        <f>IF('CL - IFA v6 Smart - AQ'!M19 = 0,"",'CL - IFA v6 Smart - AQ'!M19)</f>
        <v>not answered/error</v>
      </c>
      <c r="D15" s="25" t="str">
        <f>IF('CL - IFA v6 Smart - AQ'!Q19 = 0, "",'CL - IFA v6 Smart - AQ'!Q19)</f>
        <v>Document identification 
name:
code:
revision: 
date:</v>
      </c>
      <c r="E15" s="26" t="str">
        <f>IF('CL - IFA v6 Smart - AQ'!R19 = 0,"",'CL - IFA v6 Smart - AQ'!R19)</f>
        <v/>
      </c>
      <c r="F15" s="1"/>
      <c r="G15" s="1"/>
      <c r="H15" s="25" t="str">
        <f>IF('Audit Result'!C15 = "No", IF('Audit Result'!G15 = "x", "Closed", "Open"), "")</f>
        <v/>
      </c>
      <c r="I15" s="1"/>
      <c r="J15" s="1"/>
      <c r="K15" s="1"/>
    </row>
    <row r="16" spans="1:11" ht="28.8" x14ac:dyDescent="0.3">
      <c r="A16" s="25" t="str">
        <f>'CL - IFA v6 Smart - AQ'!D20</f>
        <v>AQ-Smart 02.04</v>
      </c>
      <c r="B16" s="25" t="str">
        <f>'CL - IFA v6 Smart - AQ'!I20</f>
        <v>Major Must</v>
      </c>
      <c r="C16" s="25" t="str">
        <f>IF('CL - IFA v6 Smart - AQ'!M20 = 0,"",'CL - IFA v6 Smart - AQ'!M20)</f>
        <v>not answered/error</v>
      </c>
      <c r="D16" s="25" t="str">
        <f>IF('CL - IFA v6 Smart - AQ'!Q20 = 0, "",'CL - IFA v6 Smart - AQ'!Q20)</f>
        <v xml:space="preserve">Geographical coordinates of all sites: </v>
      </c>
      <c r="E16" s="26" t="str">
        <f>IF('CL - IFA v6 Smart - AQ'!R20 = 0,"",'CL - IFA v6 Smart - AQ'!R20)</f>
        <v/>
      </c>
      <c r="F16" s="1"/>
      <c r="G16" s="1"/>
      <c r="H16" s="25" t="str">
        <f>IF('Audit Result'!C16 = "No", IF('Audit Result'!G16 = "x", "Closed", "Open"), "")</f>
        <v/>
      </c>
      <c r="I16" s="1"/>
      <c r="J16" s="1"/>
      <c r="K16" s="1"/>
    </row>
    <row r="17" spans="1:11" ht="115.2" x14ac:dyDescent="0.3">
      <c r="A17" s="25" t="str">
        <f>'CL - IFA v6 Smart - AQ'!D21</f>
        <v>AQ-Smart 02.05</v>
      </c>
      <c r="B17" s="25" t="str">
        <f>'CL - IFA v6 Smart - AQ'!I21</f>
        <v>Major Must</v>
      </c>
      <c r="C17" s="25" t="str">
        <f>IF('CL - IFA v6 Smart - AQ'!M21 = 0,"",'CL - IFA v6 Smart - AQ'!M21)</f>
        <v>not answered/error</v>
      </c>
      <c r="D17" s="25" t="str">
        <f>IF('CL - IFA v6 Smart - AQ'!Q21 = 0, "",'CL - IFA v6 Smart - AQ'!Q21)</f>
        <v xml:space="preserve">examples of records verified:
-XXXXXXX
-XXXXXXX
-XXXXXXX
Describe where the records are kept/stored.
</v>
      </c>
      <c r="E17" s="26" t="str">
        <f>IF('CL - IFA v6 Smart - AQ'!R21 = 0,"",'CL - IFA v6 Smart - AQ'!R21)</f>
        <v/>
      </c>
      <c r="F17" s="1"/>
      <c r="G17" s="1"/>
      <c r="H17" s="25" t="str">
        <f>IF('Audit Result'!C17 = "No", IF('Audit Result'!G17 = "x", "Closed", "Open"), "")</f>
        <v/>
      </c>
      <c r="I17" s="1"/>
      <c r="J17" s="1"/>
      <c r="K17" s="1"/>
    </row>
    <row r="18" spans="1:11" ht="72" x14ac:dyDescent="0.3">
      <c r="A18" s="25" t="str">
        <f>'CL - IFA v6 Smart - AQ'!D22</f>
        <v>AQ-Smart 02.06</v>
      </c>
      <c r="B18" s="25" t="str">
        <f>'CL - IFA v6 Smart - AQ'!I22</f>
        <v>Major Must</v>
      </c>
      <c r="C18" s="25" t="str">
        <f>IF('CL - IFA v6 Smart - AQ'!M22 = 0,"",'CL - IFA v6 Smart - AQ'!M22)</f>
        <v>not answered/error</v>
      </c>
      <c r="D18" s="25" t="str">
        <f>IF('CL - IFA v6 Smart - AQ'!Q22 = 0, "",'CL - IFA v6 Smart - AQ'!Q22)</f>
        <v>Document identification 
name:
code:
revision: 
date:</v>
      </c>
      <c r="E18" s="26" t="str">
        <f>IF('CL - IFA v6 Smart - AQ'!R22 = 0,"",'CL - IFA v6 Smart - AQ'!R22)</f>
        <v/>
      </c>
      <c r="F18" s="1"/>
      <c r="G18" s="1"/>
      <c r="H18" s="25" t="str">
        <f>IF('Audit Result'!C18 = "No", IF('Audit Result'!G18 = "x", "Closed", "Open"), "")</f>
        <v/>
      </c>
      <c r="I18" s="1"/>
      <c r="J18" s="1"/>
      <c r="K18" s="1"/>
    </row>
    <row r="19" spans="1:11" ht="100.8" x14ac:dyDescent="0.3">
      <c r="A19" s="25" t="str">
        <f>'CL - IFA v6 Smart - AQ'!D23</f>
        <v>AQ-Smart 02.07</v>
      </c>
      <c r="B19" s="25" t="str">
        <f>'CL - IFA v6 Smart - AQ'!I23</f>
        <v>Major Must</v>
      </c>
      <c r="C19" s="25" t="str">
        <f>IF('CL - IFA v6 Smart - AQ'!M23 = 0,"",'CL - IFA v6 Smart - AQ'!M23)</f>
        <v>not answered/error</v>
      </c>
      <c r="D19" s="25" t="str">
        <f>IF('CL - IFA v6 Smart - AQ'!Q23 = 0, "",'CL - IFA v6 Smart - AQ'!Q23)</f>
        <v xml:space="preserve">Date of self-assessment or internal farm audit: XXX
Initials/abbreviation of person performing the internal audit:XXX
</v>
      </c>
      <c r="E19" s="26" t="str">
        <f>IF('CL - IFA v6 Smart - AQ'!R23 = 0,"",'CL - IFA v6 Smart - AQ'!R23)</f>
        <v/>
      </c>
      <c r="F19" s="1"/>
      <c r="G19" s="1"/>
      <c r="H19" s="25" t="str">
        <f>IF('Audit Result'!C19 = "No", IF('Audit Result'!G19 = "x", "Closed", "Open"), "")</f>
        <v/>
      </c>
      <c r="I19" s="1"/>
      <c r="J19" s="1"/>
      <c r="K19" s="1"/>
    </row>
    <row r="20" spans="1:11" ht="72" x14ac:dyDescent="0.3">
      <c r="A20" s="25" t="str">
        <f>'CL - IFA v6 Smart - AQ'!D24</f>
        <v>AQ-Smart 02.08</v>
      </c>
      <c r="B20" s="25" t="str">
        <f>'CL - IFA v6 Smart - AQ'!I24</f>
        <v>Major Must</v>
      </c>
      <c r="C20" s="25" t="str">
        <f>IF('CL - IFA v6 Smart - AQ'!M24 = 0,"",'CL - IFA v6 Smart - AQ'!M24)</f>
        <v>not answered/error</v>
      </c>
      <c r="D20" s="25" t="str">
        <f>IF('CL - IFA v6 Smart - AQ'!Q24 = 0, "",'CL - IFA v6 Smart - AQ'!Q24)</f>
        <v xml:space="preserve">
Number of non-compliances detected:
Number of non-compliances still open:</v>
      </c>
      <c r="E20" s="26" t="str">
        <f>IF('CL - IFA v6 Smart - AQ'!R24 = 0,"",'CL - IFA v6 Smart - AQ'!R24)</f>
        <v/>
      </c>
      <c r="F20" s="1"/>
      <c r="G20" s="1"/>
      <c r="H20" s="25" t="str">
        <f>IF('Audit Result'!C20 = "No", IF('Audit Result'!G20 = "x", "Closed", "Open"), "")</f>
        <v/>
      </c>
      <c r="I20" s="1"/>
      <c r="J20" s="1"/>
      <c r="K20" s="1"/>
    </row>
    <row r="21" spans="1:11" ht="86.4" x14ac:dyDescent="0.3">
      <c r="A21" s="25" t="str">
        <f>'CL - IFA v6 Smart - AQ'!D25</f>
        <v>AQ-Smart 02.09</v>
      </c>
      <c r="B21" s="25" t="str">
        <f>'CL - IFA v6 Smart - AQ'!I25</f>
        <v>Major Must</v>
      </c>
      <c r="C21" s="25" t="str">
        <f>IF('CL - IFA v6 Smart - AQ'!M25 = 0,"",'CL - IFA v6 Smart - AQ'!M25)</f>
        <v>not answered/error</v>
      </c>
      <c r="D21" s="25" t="str">
        <f>IF('CL - IFA v6 Smart - AQ'!Q25 = 0, "",'CL - IFA v6 Smart - AQ'!Q25)</f>
        <v xml:space="preserve">Continuous improvement plan XX Dated YYYY/MM/DD 
 Example of self-defined target XXXXXX - DATE OF ACHIEVEMENT  PREVIEWED : XXX - </v>
      </c>
      <c r="E21" s="26" t="str">
        <f>IF('CL - IFA v6 Smart - AQ'!R25 = 0,"",'CL - IFA v6 Smart - AQ'!R25)</f>
        <v/>
      </c>
      <c r="F21" s="1"/>
      <c r="G21" s="1"/>
      <c r="H21" s="25" t="str">
        <f>IF('Audit Result'!C21 = "No", IF('Audit Result'!G21 = "x", "Closed", "Open"), "")</f>
        <v/>
      </c>
      <c r="I21" s="1"/>
      <c r="J21" s="1"/>
      <c r="K21" s="1"/>
    </row>
    <row r="22" spans="1:11" ht="72" x14ac:dyDescent="0.3">
      <c r="A22" s="25" t="str">
        <f>'CL - IFA v6 Smart - AQ'!D26</f>
        <v>AQ-Smart 02.10</v>
      </c>
      <c r="B22" s="25" t="str">
        <f>'CL - IFA v6 Smart - AQ'!I26</f>
        <v>Major Must</v>
      </c>
      <c r="C22" s="25" t="str">
        <f>IF('CL - IFA v6 Smart - AQ'!M26 = 0,"",'CL - IFA v6 Smart - AQ'!M26)</f>
        <v>not answered/error</v>
      </c>
      <c r="D22" s="25" t="str">
        <f>IF('CL - IFA v6 Smart - AQ'!Q26 = 0, "",'CL - IFA v6 Smart - AQ'!Q26)</f>
        <v>Document identification 
name:
code:
revision: 
date:</v>
      </c>
      <c r="E22" s="26" t="str">
        <f>IF('CL - IFA v6 Smart - AQ'!R26 = 0,"",'CL - IFA v6 Smart - AQ'!R26)</f>
        <v/>
      </c>
      <c r="F22" s="1"/>
      <c r="G22" s="1"/>
      <c r="H22" s="25" t="str">
        <f>IF('Audit Result'!C22 = "No", IF('Audit Result'!G22 = "x", "Closed", "Open"), "")</f>
        <v/>
      </c>
      <c r="I22" s="1"/>
      <c r="J22" s="1"/>
      <c r="K22" s="1"/>
    </row>
    <row r="23" spans="1:11" ht="273.60000000000002" x14ac:dyDescent="0.3">
      <c r="A23" s="25" t="str">
        <f>'CL - IFA v6 Smart - AQ'!D27</f>
        <v>AQ-Smart 03.01</v>
      </c>
      <c r="B23" s="25" t="str">
        <f>'CL - IFA v6 Smart - AQ'!I27</f>
        <v>Major Must</v>
      </c>
      <c r="C23" s="25" t="str">
        <f>IF('CL - IFA v6 Smart - AQ'!M27 = 0,"",'CL - IFA v6 Smart - AQ'!M27)</f>
        <v>not answered/error</v>
      </c>
      <c r="D23" s="25" t="str">
        <f>IF('CL - IFA v6 Smart - AQ'!Q27 = 0, "",'CL - IFA v6 Smart - AQ'!Q27)</f>
        <v xml:space="preserve">Document identification 
name:
code:
revision: 
date:
production stages covered:
All  production stages covered in the hygiene risk assessment are equivalent to those covered in the certificate, either performed by the producer or subcontracted.
Detail/List all different production, harvest, and postharvest processes seen. 
</v>
      </c>
      <c r="E23" s="26" t="str">
        <f>IF('CL - IFA v6 Smart - AQ'!R27 = 0,"",'CL - IFA v6 Smart - AQ'!R27)</f>
        <v/>
      </c>
      <c r="F23" s="1"/>
      <c r="G23" s="1"/>
      <c r="H23" s="25" t="str">
        <f>IF('Audit Result'!C23 = "No", IF('Audit Result'!G23 = "x", "Closed", "Open"), "")</f>
        <v/>
      </c>
      <c r="I23" s="1"/>
      <c r="J23" s="1"/>
      <c r="K23" s="1"/>
    </row>
    <row r="24" spans="1:11" ht="43.2" x14ac:dyDescent="0.3">
      <c r="A24" s="25" t="str">
        <f>'CL - IFA v6 Smart - AQ'!D28</f>
        <v>AQ-Smart 03.02</v>
      </c>
      <c r="B24" s="25" t="str">
        <f>'CL - IFA v6 Smart - AQ'!I28</f>
        <v>Major Must</v>
      </c>
      <c r="C24" s="25" t="str">
        <f>IF('CL - IFA v6 Smart - AQ'!M28 = 0,"",'CL - IFA v6 Smart - AQ'!M28)</f>
        <v>not answered/error</v>
      </c>
      <c r="D24" s="25" t="str">
        <f>IF('CL - IFA v6 Smart - AQ'!Q28 = 0, "",'CL - IFA v6 Smart - AQ'!Q28)</f>
        <v>Document XXXXXX, dated DD/MM/YY. Example of health and safety risk: XXXXX</v>
      </c>
      <c r="E24" s="26" t="str">
        <f>IF('CL - IFA v6 Smart - AQ'!R28 = 0,"",'CL - IFA v6 Smart - AQ'!R28)</f>
        <v/>
      </c>
      <c r="F24" s="1"/>
      <c r="G24" s="1"/>
      <c r="H24" s="25" t="str">
        <f>IF('Audit Result'!C24 = "No", IF('Audit Result'!G24 = "x", "Closed", "Open"), "")</f>
        <v/>
      </c>
      <c r="I24" s="1"/>
      <c r="J24" s="1"/>
      <c r="K24" s="1"/>
    </row>
    <row r="25" spans="1:11" ht="86.4" x14ac:dyDescent="0.3">
      <c r="A25" s="25" t="str">
        <f>'CL - IFA v6 Smart - AQ'!D29</f>
        <v>AQ-Smart 03.03</v>
      </c>
      <c r="B25" s="25" t="str">
        <f>'CL - IFA v6 Smart - AQ'!I29</f>
        <v>Major Must</v>
      </c>
      <c r="C25" s="25" t="str">
        <f>IF('CL - IFA v6 Smart - AQ'!M29 = 0,"",'CL - IFA v6 Smart - AQ'!M29)</f>
        <v>not answered/error</v>
      </c>
      <c r="D25" s="25" t="str">
        <f>IF('CL - IFA v6 Smart - AQ'!Q29 = 0, "",'CL - IFA v6 Smart - AQ'!Q29)</f>
        <v>Visual inspection shows hygiene procedures implemented.
Describe where the hygiene instructions are displayed.</v>
      </c>
      <c r="E25" s="26" t="str">
        <f>IF('CL - IFA v6 Smart - AQ'!R29 = 0,"",'CL - IFA v6 Smart - AQ'!R29)</f>
        <v/>
      </c>
      <c r="F25" s="1"/>
      <c r="G25" s="1"/>
      <c r="H25" s="25" t="str">
        <f>IF('Audit Result'!C25 = "No", IF('Audit Result'!G25 = "x", "Closed", "Open"), "")</f>
        <v/>
      </c>
      <c r="I25" s="1"/>
      <c r="J25" s="1"/>
      <c r="K25" s="1"/>
    </row>
    <row r="26" spans="1:11" ht="158.4" x14ac:dyDescent="0.3">
      <c r="A26" s="25" t="str">
        <f>'CL - IFA v6 Smart - AQ'!D30</f>
        <v>AQ-Smart 04.01.01</v>
      </c>
      <c r="B26" s="25" t="str">
        <f>'CL - IFA v6 Smart - AQ'!I30</f>
        <v>Major Must</v>
      </c>
      <c r="C26" s="25" t="str">
        <f>IF('CL - IFA v6 Smart - AQ'!M30 = 0,"",'CL - IFA v6 Smart - AQ'!M30)</f>
        <v>not answered/error</v>
      </c>
      <c r="D26" s="25" t="str">
        <f>IF('CL - IFA v6 Smart - AQ'!Q30 = 0, "",'CL - IFA v6 Smart - AQ'!Q30)</f>
        <v>Document identification 
name:
code:
revision: 
date:
Example of a health and safety risk.
-XXXX
_XXXX
-XXXXX</v>
      </c>
      <c r="E26" s="26" t="str">
        <f>IF('CL - IFA v6 Smart - AQ'!R30 = 0,"",'CL - IFA v6 Smart - AQ'!R30)</f>
        <v/>
      </c>
      <c r="F26" s="1"/>
      <c r="G26" s="1"/>
      <c r="H26" s="25" t="str">
        <f>IF('Audit Result'!C26 = "No", IF('Audit Result'!G26 = "x", "Closed", "Open"), "")</f>
        <v/>
      </c>
      <c r="I26" s="1"/>
      <c r="J26" s="1"/>
      <c r="K26" s="1"/>
    </row>
    <row r="27" spans="1:11" ht="28.8" x14ac:dyDescent="0.3">
      <c r="A27" s="25" t="str">
        <f>'CL - IFA v6 Smart - AQ'!D31</f>
        <v>AQ-Smart 04.01.02</v>
      </c>
      <c r="B27" s="25" t="str">
        <f>'CL - IFA v6 Smart - AQ'!I31</f>
        <v>Major Must</v>
      </c>
      <c r="C27" s="25" t="str">
        <f>IF('CL - IFA v6 Smart - AQ'!M31 = 0,"",'CL - IFA v6 Smart - AQ'!M31)</f>
        <v>not answered/error</v>
      </c>
      <c r="D27" s="25" t="str">
        <f>IF('CL - IFA v6 Smart - AQ'!Q31 = 0, "",'CL - IFA v6 Smart - AQ'!Q31)</f>
        <v xml:space="preserve">PROCEDURE XX Dated YYYY/MM/DD </v>
      </c>
      <c r="E27" s="26" t="str">
        <f>IF('CL - IFA v6 Smart - AQ'!R31 = 0,"",'CL - IFA v6 Smart - AQ'!R31)</f>
        <v/>
      </c>
      <c r="F27" s="1"/>
      <c r="G27" s="1"/>
      <c r="H27" s="25" t="str">
        <f>IF('Audit Result'!C27 = "No", IF('Audit Result'!G27 = "x", "Closed", "Open"), "")</f>
        <v/>
      </c>
      <c r="I27" s="1"/>
      <c r="J27" s="1"/>
      <c r="K27" s="1"/>
    </row>
    <row r="28" spans="1:11" ht="72" x14ac:dyDescent="0.3">
      <c r="A28" s="25" t="str">
        <f>'CL - IFA v6 Smart - AQ'!D32</f>
        <v>AQ-Smart 04.01.03</v>
      </c>
      <c r="B28" s="25" t="str">
        <f>'CL - IFA v6 Smart - AQ'!I32</f>
        <v>Major Must</v>
      </c>
      <c r="C28" s="25" t="str">
        <f>IF('CL - IFA v6 Smart - AQ'!M32 = 0,"",'CL - IFA v6 Smart - AQ'!M32)</f>
        <v>not answered/error</v>
      </c>
      <c r="D28" s="25" t="str">
        <f>IF('CL - IFA v6 Smart - AQ'!Q32 = 0, "",'CL - IFA v6 Smart - AQ'!Q32)</f>
        <v xml:space="preserve">Document identification of example of a diving project (name/code, date/edition, etc.):
</v>
      </c>
      <c r="E28" s="26" t="str">
        <f>IF('CL - IFA v6 Smart - AQ'!R32 = 0,"",'CL - IFA v6 Smart - AQ'!R32)</f>
        <v/>
      </c>
      <c r="F28" s="1"/>
      <c r="G28" s="1"/>
      <c r="H28" s="25" t="str">
        <f>IF('Audit Result'!C28 = "No", IF('Audit Result'!G28 = "x", "Closed", "Open"), "")</f>
        <v/>
      </c>
      <c r="I28" s="1"/>
      <c r="J28" s="1"/>
      <c r="K28" s="1"/>
    </row>
    <row r="29" spans="1:11" ht="115.2" x14ac:dyDescent="0.3">
      <c r="A29" s="25" t="str">
        <f>'CL - IFA v6 Smart - AQ'!D33</f>
        <v>AQ-Smart 04.01.04</v>
      </c>
      <c r="B29" s="25" t="str">
        <f>'CL - IFA v6 Smart - AQ'!I33</f>
        <v>Major Must</v>
      </c>
      <c r="C29" s="25" t="str">
        <f>IF('CL - IFA v6 Smart - AQ'!M33 = 0,"",'CL - IFA v6 Smart - AQ'!M33)</f>
        <v>not answered/error</v>
      </c>
      <c r="D29" s="25" t="str">
        <f>IF('CL - IFA v6 Smart - AQ'!Q33 = 0, "",'CL - IFA v6 Smart - AQ'!Q33)</f>
        <v>The farm has a total of XXX toilets, including both stationary and mobile units// only mobile units/// only stationary units. These toilets are distributed across various locations, including XXXXXX</v>
      </c>
      <c r="E29" s="26" t="str">
        <f>IF('CL - IFA v6 Smart - AQ'!R33 = 0,"",'CL - IFA v6 Smart - AQ'!R33)</f>
        <v/>
      </c>
      <c r="F29" s="1"/>
      <c r="G29" s="1"/>
      <c r="H29" s="25" t="str">
        <f>IF('Audit Result'!C29 = "No", IF('Audit Result'!G29 = "x", "Closed", "Open"), "")</f>
        <v/>
      </c>
      <c r="I29" s="1"/>
      <c r="J29" s="1"/>
      <c r="K29" s="1"/>
    </row>
    <row r="30" spans="1:11" ht="72" x14ac:dyDescent="0.3">
      <c r="A30" s="25" t="str">
        <f>'CL - IFA v6 Smart - AQ'!D34</f>
        <v>AQ-Smart 04.01.05</v>
      </c>
      <c r="B30" s="25" t="str">
        <f>'CL - IFA v6 Smart - AQ'!I34</f>
        <v>Major Must</v>
      </c>
      <c r="C30" s="25" t="str">
        <f>IF('CL - IFA v6 Smart - AQ'!M34 = 0,"",'CL - IFA v6 Smart - AQ'!M34)</f>
        <v>not answered/error</v>
      </c>
      <c r="D30" s="25" t="str">
        <f>IF('CL - IFA v6 Smart - AQ'!Q34 = 0, "",'CL - IFA v6 Smart - AQ'!Q34)</f>
        <v xml:space="preserve">Sewage waste collection and disposal procedure(s), including those made by subcontractors in  
name, date, rev </v>
      </c>
      <c r="E30" s="26" t="str">
        <f>IF('CL - IFA v6 Smart - AQ'!R34 = 0,"",'CL - IFA v6 Smart - AQ'!R34)</f>
        <v/>
      </c>
      <c r="F30" s="1"/>
      <c r="G30" s="1"/>
      <c r="H30" s="25" t="str">
        <f>IF('Audit Result'!C30 = "No", IF('Audit Result'!G30 = "x", "Closed", "Open"), "")</f>
        <v/>
      </c>
      <c r="I30" s="1"/>
      <c r="J30" s="1"/>
      <c r="K30" s="1"/>
    </row>
    <row r="31" spans="1:11" ht="172.8" x14ac:dyDescent="0.3">
      <c r="A31" s="25" t="str">
        <f>'CL - IFA v6 Smart - AQ'!D35</f>
        <v>AQ-Smart 04.01.06</v>
      </c>
      <c r="B31" s="25" t="str">
        <f>'CL - IFA v6 Smart - AQ'!I35</f>
        <v>Major Must</v>
      </c>
      <c r="C31" s="25" t="str">
        <f>IF('CL - IFA v6 Smart - AQ'!M35 = 0,"",'CL - IFA v6 Smart - AQ'!M35)</f>
        <v>not answered/error</v>
      </c>
      <c r="D31" s="25" t="str">
        <f>IF('CL - IFA v6 Smart - AQ'!Q35 = 0, "",'CL - IFA v6 Smart - AQ'!Q35)</f>
        <v xml:space="preserve">Identification of vessel(s) inspected including valid licenses including personal license to operate and vessel license (no personal data to be included): 
Vessel name
Licence n.
Validity.
Etc...
</v>
      </c>
      <c r="E31" s="26" t="str">
        <f>IF('CL - IFA v6 Smart - AQ'!R35 = 0,"",'CL - IFA v6 Smart - AQ'!R35)</f>
        <v/>
      </c>
      <c r="F31" s="1"/>
      <c r="G31" s="1"/>
      <c r="H31" s="25" t="str">
        <f>IF('Audit Result'!C31 = "No", IF('Audit Result'!G31 = "x", "Closed", "Open"), "")</f>
        <v/>
      </c>
      <c r="I31" s="1"/>
      <c r="J31" s="1"/>
      <c r="K31" s="1"/>
    </row>
    <row r="32" spans="1:11" ht="72" x14ac:dyDescent="0.3">
      <c r="A32" s="25" t="str">
        <f>'CL - IFA v6 Smart - AQ'!D36</f>
        <v>AQ-Smart 04.02.01</v>
      </c>
      <c r="B32" s="25" t="str">
        <f>'CL - IFA v6 Smart - AQ'!I36</f>
        <v>Major Must</v>
      </c>
      <c r="C32" s="25" t="str">
        <f>IF('CL - IFA v6 Smart - AQ'!M36 = 0,"",'CL - IFA v6 Smart - AQ'!M36)</f>
        <v>not answered/error</v>
      </c>
      <c r="D32" s="25" t="str">
        <f>IF('CL - IFA v6 Smart - AQ'!Q36 = 0, "",'CL - IFA v6 Smart - AQ'!Q36)</f>
        <v>Topic of training: XXXXX
 Number of Workers: XXX; 
Traning  Date:  DD/MM/YY -  
Initials of the name of Trainer(s): XXXXX</v>
      </c>
      <c r="E32" s="26" t="str">
        <f>IF('CL - IFA v6 Smart - AQ'!R36 = 0,"",'CL - IFA v6 Smart - AQ'!R36)</f>
        <v/>
      </c>
      <c r="F32" s="1"/>
      <c r="G32" s="1"/>
      <c r="H32" s="25" t="str">
        <f>IF('Audit Result'!C32 = "No", IF('Audit Result'!G32 = "x", "Closed", "Open"), "")</f>
        <v/>
      </c>
      <c r="I32" s="1"/>
      <c r="J32" s="1"/>
      <c r="K32" s="1"/>
    </row>
    <row r="33" spans="1:11" ht="72" x14ac:dyDescent="0.3">
      <c r="A33" s="25" t="str">
        <f>'CL - IFA v6 Smart - AQ'!D37</f>
        <v>AQ-Smart 04.02.02</v>
      </c>
      <c r="B33" s="25" t="str">
        <f>'CL - IFA v6 Smart - AQ'!I37</f>
        <v>Major Must</v>
      </c>
      <c r="C33" s="25" t="str">
        <f>IF('CL - IFA v6 Smart - AQ'!M37 = 0,"",'CL - IFA v6 Smart - AQ'!M37)</f>
        <v>not answered/error</v>
      </c>
      <c r="D33" s="25" t="str">
        <f>IF('CL - IFA v6 Smart - AQ'!Q37 = 0, "",'CL - IFA v6 Smart - AQ'!Q37)</f>
        <v>Topic of training: XXXXX
 Number of Workers: XXX; 
Traning  Date:  DD/MM/YY -  
Initials of the name of Trainer(s): XXXXX</v>
      </c>
      <c r="E33" s="26" t="str">
        <f>IF('CL - IFA v6 Smart - AQ'!R37 = 0,"",'CL - IFA v6 Smart - AQ'!R37)</f>
        <v/>
      </c>
      <c r="F33" s="1"/>
      <c r="G33" s="1"/>
      <c r="H33" s="25" t="str">
        <f>IF('Audit Result'!C33 = "No", IF('Audit Result'!G33 = "x", "Closed", "Open"), "")</f>
        <v/>
      </c>
      <c r="I33" s="1"/>
      <c r="J33" s="1"/>
      <c r="K33" s="1"/>
    </row>
    <row r="34" spans="1:11" ht="72" x14ac:dyDescent="0.3">
      <c r="A34" s="25" t="str">
        <f>'CL - IFA v6 Smart - AQ'!D38</f>
        <v>AQ-Smart 04.02.03</v>
      </c>
      <c r="B34" s="25" t="str">
        <f>'CL - IFA v6 Smart - AQ'!I38</f>
        <v>Major Must</v>
      </c>
      <c r="C34" s="25" t="str">
        <f>IF('CL - IFA v6 Smart - AQ'!M38 = 0,"",'CL - IFA v6 Smart - AQ'!M38)</f>
        <v>not answered/error</v>
      </c>
      <c r="D34" s="25" t="str">
        <f>IF('CL - IFA v6 Smart - AQ'!Q38 = 0, "",'CL - IFA v6 Smart - AQ'!Q38)</f>
        <v>Document identification 
name:
code:
revision: 
date:</v>
      </c>
      <c r="E34" s="26" t="str">
        <f>IF('CL - IFA v6 Smart - AQ'!R38 = 0,"",'CL - IFA v6 Smart - AQ'!R38)</f>
        <v/>
      </c>
      <c r="F34" s="1"/>
      <c r="G34" s="1"/>
      <c r="H34" s="25" t="str">
        <f>IF('Audit Result'!C34 = "No", IF('Audit Result'!G34 = "x", "Closed", "Open"), "")</f>
        <v/>
      </c>
      <c r="I34" s="1"/>
      <c r="J34" s="1"/>
      <c r="K34" s="1"/>
    </row>
    <row r="35" spans="1:11" ht="187.2" x14ac:dyDescent="0.3">
      <c r="A35" s="25" t="str">
        <f>'CL - IFA v6 Smart - AQ'!D39</f>
        <v>AQ-Smart 04.02.04</v>
      </c>
      <c r="B35" s="25" t="str">
        <f>'CL - IFA v6 Smart - AQ'!I39</f>
        <v>Major Must</v>
      </c>
      <c r="C35" s="25" t="str">
        <f>IF('CL - IFA v6 Smart - AQ'!M39 = 0,"",'CL - IFA v6 Smart - AQ'!M39)</f>
        <v>not answered/error</v>
      </c>
      <c r="D35" s="25" t="str">
        <f>IF('CL - IFA v6 Smart - AQ'!Q39 = 0, "",'CL - IFA v6 Smart - AQ'!Q39)</f>
        <v xml:space="preserve">
Document identification 
name:
code:
revision: 
date:
of the internal description of animal health and welfare indicators:
Topic of training:
Number of workers:
Training date:</v>
      </c>
      <c r="E35" s="26" t="str">
        <f>IF('CL - IFA v6 Smart - AQ'!R39 = 0,"",'CL - IFA v6 Smart - AQ'!R39)</f>
        <v/>
      </c>
      <c r="F35" s="1"/>
      <c r="G35" s="1"/>
      <c r="H35" s="25" t="str">
        <f>IF('Audit Result'!C35 = "No", IF('Audit Result'!G35 = "x", "Closed", "Open"), "")</f>
        <v/>
      </c>
      <c r="I35" s="1"/>
      <c r="J35" s="1"/>
      <c r="K35" s="1"/>
    </row>
    <row r="36" spans="1:11" ht="72" x14ac:dyDescent="0.3">
      <c r="A36" s="25" t="str">
        <f>'CL - IFA v6 Smart - AQ'!D40</f>
        <v>AQ-Smart 04.02.05</v>
      </c>
      <c r="B36" s="25" t="str">
        <f>'CL - IFA v6 Smart - AQ'!I40</f>
        <v>Major Must</v>
      </c>
      <c r="C36" s="25" t="str">
        <f>IF('CL - IFA v6 Smart - AQ'!M40 = 0,"",'CL - IFA v6 Smart - AQ'!M40)</f>
        <v>not answered/error</v>
      </c>
      <c r="D36" s="25" t="str">
        <f>IF('CL - IFA v6 Smart - AQ'!Q40 = 0, "",'CL - IFA v6 Smart - AQ'!Q40)</f>
        <v>Topic of training: XXXXX
 Number of Workers: XXX; 
Traning  Date:  DD/MM/YY -  
Initials of the name of Trainer(s): XXXXX</v>
      </c>
      <c r="E36" s="26" t="str">
        <f>IF('CL - IFA v6 Smart - AQ'!R40 = 0,"",'CL - IFA v6 Smart - AQ'!R40)</f>
        <v/>
      </c>
      <c r="F36" s="1"/>
      <c r="G36" s="1"/>
      <c r="H36" s="25" t="str">
        <f>IF('Audit Result'!C36 = "No", IF('Audit Result'!G36 = "x", "Closed", "Open"), "")</f>
        <v/>
      </c>
      <c r="I36" s="1"/>
      <c r="J36" s="1"/>
      <c r="K36" s="1"/>
    </row>
    <row r="37" spans="1:11" ht="72" x14ac:dyDescent="0.3">
      <c r="A37" s="25" t="str">
        <f>'CL - IFA v6 Smart - AQ'!D41</f>
        <v>AQ-Smart 04.02.06</v>
      </c>
      <c r="B37" s="25" t="str">
        <f>'CL - IFA v6 Smart - AQ'!I41</f>
        <v>Major Must</v>
      </c>
      <c r="C37" s="25" t="str">
        <f>IF('CL - IFA v6 Smart - AQ'!M41 = 0,"",'CL - IFA v6 Smart - AQ'!M41)</f>
        <v>not answered/error</v>
      </c>
      <c r="D37" s="25" t="str">
        <f>IF('CL - IFA v6 Smart - AQ'!Q41 = 0, "",'CL - IFA v6 Smart - AQ'!Q41)</f>
        <v>Topic of training: XXXXX
 Number of Workers: XXX; 
Traning  Date:  DD/MM/YY -  
Initials of the name of Trainer(s): XXXXX</v>
      </c>
      <c r="E37" s="26" t="str">
        <f>IF('CL - IFA v6 Smart - AQ'!R41 = 0,"",'CL - IFA v6 Smart - AQ'!R41)</f>
        <v/>
      </c>
      <c r="F37" s="1"/>
      <c r="G37" s="1"/>
      <c r="H37" s="25" t="str">
        <f>IF('Audit Result'!C37 = "No", IF('Audit Result'!G37 = "x", "Closed", "Open"), "")</f>
        <v/>
      </c>
      <c r="I37" s="1"/>
      <c r="J37" s="1"/>
      <c r="K37" s="1"/>
    </row>
    <row r="38" spans="1:11" x14ac:dyDescent="0.3">
      <c r="A38" s="25" t="str">
        <f>'CL - IFA v6 Smart - AQ'!D42</f>
        <v>AQ-Smart 04.03.01</v>
      </c>
      <c r="B38" s="25" t="str">
        <f>'CL - IFA v6 Smart - AQ'!I42</f>
        <v>Minor Must</v>
      </c>
      <c r="C38" s="25" t="str">
        <f>IF('CL - IFA v6 Smart - AQ'!M42 = 0,"",'CL - IFA v6 Smart - AQ'!M42)</f>
        <v>not answered/error</v>
      </c>
      <c r="D38" s="25" t="str">
        <f>IF('CL - IFA v6 Smart - AQ'!Q42 = 0, "",'CL - IFA v6 Smart - AQ'!Q42)</f>
        <v/>
      </c>
      <c r="E38" s="26" t="str">
        <f>IF('CL - IFA v6 Smart - AQ'!R42 = 0,"",'CL - IFA v6 Smart - AQ'!R42)</f>
        <v/>
      </c>
      <c r="F38" s="1"/>
      <c r="G38" s="1"/>
      <c r="H38" s="25" t="str">
        <f>IF('Audit Result'!C38 = "No", IF('Audit Result'!G38 = "x", "Closed", "Open"), "")</f>
        <v/>
      </c>
      <c r="I38" s="1"/>
      <c r="J38" s="1"/>
      <c r="K38" s="1"/>
    </row>
    <row r="39" spans="1:11" x14ac:dyDescent="0.3">
      <c r="A39" s="25" t="str">
        <f>'CL - IFA v6 Smart - AQ'!D43</f>
        <v>AQ-Smart 04.03.02</v>
      </c>
      <c r="B39" s="25" t="str">
        <f>'CL - IFA v6 Smart - AQ'!I43</f>
        <v>Minor Must</v>
      </c>
      <c r="C39" s="25" t="str">
        <f>IF('CL - IFA v6 Smart - AQ'!M43 = 0,"",'CL - IFA v6 Smart - AQ'!M43)</f>
        <v>not answered/error</v>
      </c>
      <c r="D39" s="25" t="str">
        <f>IF('CL - IFA v6 Smart - AQ'!Q43 = 0, "",'CL - IFA v6 Smart - AQ'!Q43)</f>
        <v/>
      </c>
      <c r="E39" s="26" t="str">
        <f>IF('CL - IFA v6 Smart - AQ'!R43 = 0,"",'CL - IFA v6 Smart - AQ'!R43)</f>
        <v/>
      </c>
      <c r="F39" s="1"/>
      <c r="G39" s="1"/>
      <c r="H39" s="25" t="str">
        <f>IF('Audit Result'!C39 = "No", IF('Audit Result'!G39 = "x", "Closed", "Open"), "")</f>
        <v/>
      </c>
      <c r="I39" s="1"/>
      <c r="J39" s="1"/>
      <c r="K39" s="1"/>
    </row>
    <row r="40" spans="1:11" x14ac:dyDescent="0.3">
      <c r="A40" s="25" t="str">
        <f>'CL - IFA v6 Smart - AQ'!D44</f>
        <v>AQ-Smart 04.03.03</v>
      </c>
      <c r="B40" s="25" t="str">
        <f>'CL - IFA v6 Smart - AQ'!I44</f>
        <v>Minor Must</v>
      </c>
      <c r="C40" s="25" t="str">
        <f>IF('CL - IFA v6 Smart - AQ'!M44 = 0,"",'CL - IFA v6 Smart - AQ'!M44)</f>
        <v>not answered/error</v>
      </c>
      <c r="D40" s="25" t="str">
        <f>IF('CL - IFA v6 Smart - AQ'!Q44 = 0, "",'CL - IFA v6 Smart - AQ'!Q44)</f>
        <v/>
      </c>
      <c r="E40" s="26" t="str">
        <f>IF('CL - IFA v6 Smart - AQ'!R44 = 0,"",'CL - IFA v6 Smart - AQ'!R44)</f>
        <v/>
      </c>
      <c r="F40" s="1"/>
      <c r="G40" s="1"/>
      <c r="H40" s="25" t="str">
        <f>IF('Audit Result'!C40 = "No", IF('Audit Result'!G40 = "x", "Closed", "Open"), "")</f>
        <v/>
      </c>
      <c r="I40" s="1"/>
      <c r="J40" s="1"/>
      <c r="K40" s="1"/>
    </row>
    <row r="41" spans="1:11" ht="28.8" x14ac:dyDescent="0.3">
      <c r="A41" s="25" t="str">
        <f>'CL - IFA v6 Smart - AQ'!D45</f>
        <v>AQ-Smart 04.03.04</v>
      </c>
      <c r="B41" s="25" t="str">
        <f>'CL - IFA v6 Smart - AQ'!I45</f>
        <v>Minor Must</v>
      </c>
      <c r="C41" s="25" t="str">
        <f>IF('CL - IFA v6 Smart - AQ'!M45 = 0,"",'CL - IFA v6 Smart - AQ'!M45)</f>
        <v>not answered/error</v>
      </c>
      <c r="D41" s="25" t="str">
        <f>IF('CL - IFA v6 Smart - AQ'!Q45 = 0, "",'CL - IFA v6 Smart - AQ'!Q45)</f>
        <v xml:space="preserve"> first aid kit checked located  in XXXXXX</v>
      </c>
      <c r="E41" s="26" t="str">
        <f>IF('CL - IFA v6 Smart - AQ'!R45 = 0,"",'CL - IFA v6 Smart - AQ'!R45)</f>
        <v/>
      </c>
      <c r="F41" s="1"/>
      <c r="G41" s="1"/>
      <c r="H41" s="25" t="str">
        <f>IF('Audit Result'!C41 = "No", IF('Audit Result'!G41 = "x", "Closed", "Open"), "")</f>
        <v/>
      </c>
      <c r="I41" s="1"/>
      <c r="J41" s="1"/>
      <c r="K41" s="1"/>
    </row>
    <row r="42" spans="1:11" x14ac:dyDescent="0.3">
      <c r="A42" s="25" t="str">
        <f>'CL - IFA v6 Smart - AQ'!D46</f>
        <v>AQ-Smart 04.03.05</v>
      </c>
      <c r="B42" s="25" t="str">
        <f>'CL - IFA v6 Smart - AQ'!I46</f>
        <v>Minor Must</v>
      </c>
      <c r="C42" s="25" t="str">
        <f>IF('CL - IFA v6 Smart - AQ'!M46 = 0,"",'CL - IFA v6 Smart - AQ'!M46)</f>
        <v>not answered/error</v>
      </c>
      <c r="D42" s="25" t="str">
        <f>IF('CL - IFA v6 Smart - AQ'!Q46 = 0, "",'CL - IFA v6 Smart - AQ'!Q46)</f>
        <v/>
      </c>
      <c r="E42" s="26" t="str">
        <f>IF('CL - IFA v6 Smart - AQ'!R46 = 0,"",'CL - IFA v6 Smart - AQ'!R46)</f>
        <v/>
      </c>
      <c r="F42" s="1"/>
      <c r="G42" s="1"/>
      <c r="H42" s="25" t="str">
        <f>IF('Audit Result'!C42 = "No", IF('Audit Result'!G42 = "x", "Closed", "Open"), "")</f>
        <v/>
      </c>
      <c r="I42" s="1"/>
      <c r="J42" s="1"/>
      <c r="K42" s="1"/>
    </row>
    <row r="43" spans="1:11" ht="86.4" x14ac:dyDescent="0.3">
      <c r="A43" s="25" t="str">
        <f>'CL - IFA v6 Smart - AQ'!D47</f>
        <v>AQ-Smart 04.04.01</v>
      </c>
      <c r="B43" s="25" t="str">
        <f>'CL - IFA v6 Smart - AQ'!I47</f>
        <v>Major Must</v>
      </c>
      <c r="C43" s="25" t="str">
        <f>IF('CL - IFA v6 Smart - AQ'!M47 = 0,"",'CL - IFA v6 Smart - AQ'!M47)</f>
        <v>not answered/error</v>
      </c>
      <c r="D43" s="25" t="str">
        <f>IF('CL - IFA v6 Smart - AQ'!Q47 = 0, "",'CL - IFA v6 Smart - AQ'!Q47)</f>
        <v>PPE are available and suitable.
Example of PPE used and the activity:
-XXXXX for XXXXXX
-XXXXX for XXXXXXX</v>
      </c>
      <c r="E43" s="26" t="str">
        <f>IF('CL - IFA v6 Smart - AQ'!R47 = 0,"",'CL - IFA v6 Smart - AQ'!R47)</f>
        <v/>
      </c>
      <c r="F43" s="1"/>
      <c r="G43" s="1"/>
      <c r="H43" s="25" t="str">
        <f>IF('Audit Result'!C43 = "No", IF('Audit Result'!G43 = "x", "Closed", "Open"), "")</f>
        <v/>
      </c>
      <c r="I43" s="1"/>
      <c r="J43" s="1"/>
      <c r="K43" s="1"/>
    </row>
    <row r="44" spans="1:11" x14ac:dyDescent="0.3">
      <c r="A44" s="25" t="str">
        <f>'CL - IFA v6 Smart - AQ'!D48</f>
        <v>AQ-Smart 04.04.02</v>
      </c>
      <c r="B44" s="25" t="str">
        <f>'CL - IFA v6 Smart - AQ'!I48</f>
        <v>Major Must</v>
      </c>
      <c r="C44" s="25" t="str">
        <f>IF('CL - IFA v6 Smart - AQ'!M48 = 0,"",'CL - IFA v6 Smart - AQ'!M48)</f>
        <v>not answered/error</v>
      </c>
      <c r="D44" s="25" t="str">
        <f>IF('CL - IFA v6 Smart - AQ'!Q48 = 0, "",'CL - IFA v6 Smart - AQ'!Q48)</f>
        <v/>
      </c>
      <c r="E44" s="26" t="str">
        <f>IF('CL - IFA v6 Smart - AQ'!R48 = 0,"",'CL - IFA v6 Smart - AQ'!R48)</f>
        <v/>
      </c>
      <c r="F44" s="1"/>
      <c r="G44" s="1"/>
      <c r="H44" s="25" t="str">
        <f>IF('Audit Result'!C44 = "No", IF('Audit Result'!G44 = "x", "Closed", "Open"), "")</f>
        <v/>
      </c>
      <c r="I44" s="1"/>
      <c r="J44" s="1"/>
      <c r="K44" s="1"/>
    </row>
    <row r="45" spans="1:11" ht="43.2" x14ac:dyDescent="0.3">
      <c r="A45" s="25" t="str">
        <f>'CL - IFA v6 Smart - AQ'!D49</f>
        <v>AQ-Smart 04.05.01</v>
      </c>
      <c r="B45" s="25" t="str">
        <f>'CL - IFA v6 Smart - AQ'!I49</f>
        <v>Major Must</v>
      </c>
      <c r="C45" s="25" t="str">
        <f>IF('CL - IFA v6 Smart - AQ'!M49 = 0,"",'CL - IFA v6 Smart - AQ'!M49)</f>
        <v>not answered/error</v>
      </c>
      <c r="D45" s="25" t="str">
        <f>IF('CL - IFA v6 Smart - AQ'!Q49 = 0, "",'CL - IFA v6 Smart - AQ'!Q49)</f>
        <v>Position of responsible for workers' health, safety and welfare.</v>
      </c>
      <c r="E45" s="26" t="str">
        <f>IF('CL - IFA v6 Smart - AQ'!R49 = 0,"",'CL - IFA v6 Smart - AQ'!R49)</f>
        <v/>
      </c>
      <c r="F45" s="1"/>
      <c r="G45" s="1"/>
      <c r="H45" s="25" t="str">
        <f>IF('Audit Result'!C45 = "No", IF('Audit Result'!G45 = "x", "Closed", "Open"), "")</f>
        <v/>
      </c>
      <c r="I45" s="1"/>
      <c r="J45" s="1"/>
      <c r="K45" s="1"/>
    </row>
    <row r="46" spans="1:11" ht="72" x14ac:dyDescent="0.3">
      <c r="A46" s="25" t="str">
        <f>'CL - IFA v6 Smart - AQ'!D50</f>
        <v>AQ-Smart 04.05.02</v>
      </c>
      <c r="B46" s="25" t="str">
        <f>'CL - IFA v6 Smart - AQ'!I50</f>
        <v>Major Must</v>
      </c>
      <c r="C46" s="25" t="str">
        <f>IF('CL - IFA v6 Smart - AQ'!M50 = 0,"",'CL - IFA v6 Smart - AQ'!M50)</f>
        <v>not answered/error</v>
      </c>
      <c r="D46" s="25" t="str">
        <f>IF('CL - IFA v6 Smart - AQ'!Q50 = 0, "",'CL - IFA v6 Smart - AQ'!Q50)</f>
        <v xml:space="preserve">Identification of the record of the last meeting 
name/code: XXX
date/edition: XXX
</v>
      </c>
      <c r="E46" s="26" t="str">
        <f>IF('CL - IFA v6 Smart - AQ'!R50 = 0,"",'CL - IFA v6 Smart - AQ'!R50)</f>
        <v/>
      </c>
      <c r="F46" s="1"/>
      <c r="G46" s="1"/>
      <c r="H46" s="25" t="str">
        <f>IF('Audit Result'!C46 = "No", IF('Audit Result'!G46 = "x", "Closed", "Open"), "")</f>
        <v/>
      </c>
      <c r="I46" s="1"/>
      <c r="J46" s="1"/>
      <c r="K46" s="1"/>
    </row>
    <row r="47" spans="1:11" ht="43.2" x14ac:dyDescent="0.3">
      <c r="A47" s="25" t="str">
        <f>'CL - IFA v6 Smart - AQ'!D51</f>
        <v>AQ-Smart 04.05.03</v>
      </c>
      <c r="B47" s="25" t="str">
        <f>'CL - IFA v6 Smart - AQ'!I51</f>
        <v>Major Must</v>
      </c>
      <c r="C47" s="25" t="str">
        <f>IF('CL - IFA v6 Smart - AQ'!M51 = 0,"",'CL - IFA v6 Smart - AQ'!M51)</f>
        <v>not answered/error</v>
      </c>
      <c r="D47" s="25" t="str">
        <f>IF('CL - IFA v6 Smart - AQ'!Q51 = 0, "",'CL - IFA v6 Smart - AQ'!Q51)</f>
        <v>If applicable, list the number of workers/families living on the farm.</v>
      </c>
      <c r="E47" s="26" t="str">
        <f>IF('CL - IFA v6 Smart - AQ'!R51 = 0,"",'CL - IFA v6 Smart - AQ'!R51)</f>
        <v/>
      </c>
      <c r="F47" s="1"/>
      <c r="G47" s="1"/>
      <c r="H47" s="25" t="str">
        <f>IF('Audit Result'!C47 = "No", IF('Audit Result'!G47 = "x", "Closed", "Open"), "")</f>
        <v/>
      </c>
      <c r="I47" s="1"/>
      <c r="J47" s="1"/>
      <c r="K47" s="1"/>
    </row>
    <row r="48" spans="1:11" x14ac:dyDescent="0.3">
      <c r="A48" s="25" t="str">
        <f>'CL - IFA v6 Smart - AQ'!D52</f>
        <v>AQ-Smart 04.05.04</v>
      </c>
      <c r="B48" s="25" t="str">
        <f>'CL - IFA v6 Smart - AQ'!I52</f>
        <v>Minor Must</v>
      </c>
      <c r="C48" s="25" t="str">
        <f>IF('CL - IFA v6 Smart - AQ'!M52 = 0,"",'CL - IFA v6 Smart - AQ'!M52)</f>
        <v>not answered/error</v>
      </c>
      <c r="D48" s="25" t="str">
        <f>IF('CL - IFA v6 Smart - AQ'!Q52 = 0, "",'CL - IFA v6 Smart - AQ'!Q52)</f>
        <v/>
      </c>
      <c r="E48" s="26" t="str">
        <f>IF('CL - IFA v6 Smart - AQ'!R52 = 0,"",'CL - IFA v6 Smart - AQ'!R52)</f>
        <v/>
      </c>
      <c r="F48" s="1"/>
      <c r="G48" s="1"/>
      <c r="H48" s="25" t="str">
        <f>IF('Audit Result'!C48 = "No", IF('Audit Result'!G48 = "x", "Closed", "Open"), "")</f>
        <v/>
      </c>
      <c r="I48" s="1"/>
      <c r="J48" s="1"/>
      <c r="K48" s="1"/>
    </row>
    <row r="49" spans="1:11" ht="86.4" x14ac:dyDescent="0.3">
      <c r="A49" s="25" t="str">
        <f>'CL - IFA v6 Smart - AQ'!D53</f>
        <v>AQ-Smart 04.05.05</v>
      </c>
      <c r="B49" s="25" t="str">
        <f>'CL - IFA v6 Smart - AQ'!I53</f>
        <v>Major Must</v>
      </c>
      <c r="C49" s="25" t="str">
        <f>IF('CL - IFA v6 Smart - AQ'!M53 = 0,"",'CL - IFA v6 Smart - AQ'!M53)</f>
        <v>not answered/error</v>
      </c>
      <c r="D49" s="25" t="str">
        <f>IF('CL - IFA v6 Smart - AQ'!Q53 = 0, "",'CL - IFA v6 Smart - AQ'!Q53)</f>
        <v xml:space="preserve">Date(s) of GRASP assessment: 
Date of Letter of conformance: 
</v>
      </c>
      <c r="E49" s="26" t="str">
        <f>IF('CL - IFA v6 Smart - AQ'!R53 = 0,"",'CL - IFA v6 Smart - AQ'!R53)</f>
        <v/>
      </c>
      <c r="F49" s="1"/>
      <c r="G49" s="1"/>
      <c r="H49" s="25" t="str">
        <f>IF('Audit Result'!C49 = "No", IF('Audit Result'!G49 = "x", "Closed", "Open"), "")</f>
        <v/>
      </c>
      <c r="I49" s="1"/>
      <c r="J49" s="1"/>
      <c r="K49" s="1"/>
    </row>
    <row r="50" spans="1:11" ht="158.4" x14ac:dyDescent="0.3">
      <c r="A50" s="25" t="str">
        <f>'CL - IFA v6 Smart - AQ'!D54</f>
        <v>AQ-Smart 05.01</v>
      </c>
      <c r="B50" s="25" t="str">
        <f>'CL - IFA v6 Smart - AQ'!I54</f>
        <v>Major Must</v>
      </c>
      <c r="C50" s="25" t="str">
        <f>IF('CL - IFA v6 Smart - AQ'!M54 = 0,"",'CL - IFA v6 Smart - AQ'!M54)</f>
        <v>not answered/error</v>
      </c>
      <c r="D50" s="25" t="str">
        <f>IF('CL - IFA v6 Smart - AQ'!Q54 = 0, "",'CL - IFA v6 Smart - AQ'!Q54)</f>
        <v xml:space="preserve">Examples of subcontracted activities checked:
Specific standard criteria related to the subcontracted: 
Identify which of the three situations applies (1, 2 or 3):
</v>
      </c>
      <c r="E50" s="26" t="str">
        <f>IF('CL - IFA v6 Smart - AQ'!R54 = 0,"",'CL - IFA v6 Smart - AQ'!R54)</f>
        <v/>
      </c>
      <c r="F50" s="1"/>
      <c r="G50" s="1"/>
      <c r="H50" s="25" t="str">
        <f>IF('Audit Result'!C50 = "No", IF('Audit Result'!G50 = "x", "Closed", "Open"), "")</f>
        <v/>
      </c>
      <c r="I50" s="1"/>
      <c r="J50" s="1"/>
      <c r="K50" s="1"/>
    </row>
    <row r="51" spans="1:11" ht="115.2" x14ac:dyDescent="0.3">
      <c r="A51" s="25" t="str">
        <f>'CL - IFA v6 Smart - AQ'!D55</f>
        <v>AQ-Smart 06.01.01</v>
      </c>
      <c r="B51" s="25" t="str">
        <f>'CL - IFA v6 Smart - AQ'!I55</f>
        <v>Major Must</v>
      </c>
      <c r="C51" s="25" t="str">
        <f>IF('CL - IFA v6 Smart - AQ'!M55 = 0,"",'CL - IFA v6 Smart - AQ'!M55)</f>
        <v>not answered/error</v>
      </c>
      <c r="D51" s="25" t="str">
        <f>IF('CL - IFA v6 Smart - AQ'!Q55 = 0, "",'CL - IFA v6 Smart - AQ'!Q55)</f>
        <v xml:space="preserve">
Document identification 
name:
code:
revision: 
date:
</v>
      </c>
      <c r="E51" s="26" t="str">
        <f>IF('CL - IFA v6 Smart - AQ'!R55 = 0,"",'CL - IFA v6 Smart - AQ'!R55)</f>
        <v/>
      </c>
      <c r="F51" s="1"/>
      <c r="G51" s="1"/>
      <c r="H51" s="25" t="str">
        <f>IF('Audit Result'!C51 = "No", IF('Audit Result'!G51 = "x", "Closed", "Open"), "")</f>
        <v/>
      </c>
      <c r="I51" s="1"/>
      <c r="J51" s="1"/>
      <c r="K51" s="1"/>
    </row>
    <row r="52" spans="1:11" ht="86.4" x14ac:dyDescent="0.3">
      <c r="A52" s="25" t="str">
        <f>'CL - IFA v6 Smart - AQ'!D56</f>
        <v>AQ-Smart 06.02.01</v>
      </c>
      <c r="B52" s="25" t="str">
        <f>'CL - IFA v6 Smart - AQ'!I56</f>
        <v>Major Must</v>
      </c>
      <c r="C52" s="25" t="str">
        <f>IF('CL - IFA v6 Smart - AQ'!M56 = 0,"",'CL - IFA v6 Smart - AQ'!M56)</f>
        <v>not answered/error</v>
      </c>
      <c r="D52" s="25" t="str">
        <f>IF('CL - IFA v6 Smart - AQ'!Q56 = 0, "",'CL - IFA v6 Smart - AQ'!Q56)</f>
        <v xml:space="preserve">
Document identification 
name:
code:
revision: 
date:</v>
      </c>
      <c r="E52" s="26" t="str">
        <f>IF('CL - IFA v6 Smart - AQ'!R56 = 0,"",'CL - IFA v6 Smart - AQ'!R56)</f>
        <v/>
      </c>
      <c r="F52" s="1"/>
      <c r="G52" s="1"/>
      <c r="H52" s="25" t="str">
        <f>IF('Audit Result'!C52 = "No", IF('Audit Result'!G52 = "x", "Closed", "Open"), "")</f>
        <v/>
      </c>
      <c r="I52" s="1"/>
      <c r="J52" s="1"/>
      <c r="K52" s="1"/>
    </row>
    <row r="53" spans="1:11" x14ac:dyDescent="0.3">
      <c r="A53" s="25" t="str">
        <f>'CL - IFA v6 Smart - AQ'!D57</f>
        <v>AQ-Smart 06.02.02</v>
      </c>
      <c r="B53" s="25" t="str">
        <f>'CL - IFA v6 Smart - AQ'!I57</f>
        <v>Major Must</v>
      </c>
      <c r="C53" s="25" t="str">
        <f>IF('CL - IFA v6 Smart - AQ'!M57 = 0,"",'CL - IFA v6 Smart - AQ'!M57)</f>
        <v>not answered/error</v>
      </c>
      <c r="D53" s="25" t="str">
        <f>IF('CL - IFA v6 Smart - AQ'!Q57 = 0, "",'CL - IFA v6 Smart - AQ'!Q57)</f>
        <v/>
      </c>
      <c r="E53" s="26" t="str">
        <f>IF('CL - IFA v6 Smart - AQ'!R57 = 0,"",'CL - IFA v6 Smart - AQ'!R57)</f>
        <v/>
      </c>
      <c r="F53" s="1"/>
      <c r="G53" s="1"/>
      <c r="H53" s="25" t="str">
        <f>IF('Audit Result'!C53 = "No", IF('Audit Result'!G53 = "x", "Closed", "Open"), "")</f>
        <v/>
      </c>
      <c r="I53" s="1"/>
      <c r="J53" s="1"/>
      <c r="K53" s="1"/>
    </row>
    <row r="54" spans="1:11" x14ac:dyDescent="0.3">
      <c r="A54" s="25" t="str">
        <f>'CL - IFA v6 Smart - AQ'!D58</f>
        <v>AQ-Smart 06.02.03</v>
      </c>
      <c r="B54" s="25" t="str">
        <f>'CL - IFA v6 Smart - AQ'!I58</f>
        <v>Minor Must</v>
      </c>
      <c r="C54" s="25" t="str">
        <f>IF('CL - IFA v6 Smart - AQ'!M58 = 0,"",'CL - IFA v6 Smart - AQ'!M58)</f>
        <v>not answered/error</v>
      </c>
      <c r="D54" s="25" t="str">
        <f>IF('CL - IFA v6 Smart - AQ'!Q58 = 0, "",'CL - IFA v6 Smart - AQ'!Q58)</f>
        <v/>
      </c>
      <c r="E54" s="26" t="str">
        <f>IF('CL - IFA v6 Smart - AQ'!R58 = 0,"",'CL - IFA v6 Smart - AQ'!R58)</f>
        <v/>
      </c>
      <c r="F54" s="1"/>
      <c r="G54" s="1"/>
      <c r="H54" s="25" t="str">
        <f>IF('Audit Result'!C54 = "No", IF('Audit Result'!G54 = "x", "Closed", "Open"), "")</f>
        <v/>
      </c>
      <c r="I54" s="1"/>
      <c r="J54" s="1"/>
      <c r="K54" s="1"/>
    </row>
    <row r="55" spans="1:11" ht="216" x14ac:dyDescent="0.3">
      <c r="A55" s="25" t="str">
        <f>'CL - IFA v6 Smart - AQ'!D59</f>
        <v>AQ-Smart 06.03.01</v>
      </c>
      <c r="B55" s="25" t="str">
        <f>'CL - IFA v6 Smart - AQ'!I59</f>
        <v>Major Must</v>
      </c>
      <c r="C55" s="25" t="str">
        <f>IF('CL - IFA v6 Smart - AQ'!M59 = 0,"",'CL - IFA v6 Smart - AQ'!M59)</f>
        <v>not answered/error</v>
      </c>
      <c r="D55" s="25" t="str">
        <f>IF('CL - IFA v6 Smart - AQ'!Q59 = 0, "",'CL - IFA v6 Smart - AQ'!Q59)</f>
        <v xml:space="preserve">
Document identification 
name:
code:
revision: 
date:
Parameters mentioned in the criteria are:
-XXXX
-XXXX
-XXXX
 that are monitored with respective frequence and place of sampling.</v>
      </c>
      <c r="E55" s="26" t="str">
        <f>IF('CL - IFA v6 Smart - AQ'!R59 = 0,"",'CL - IFA v6 Smart - AQ'!R59)</f>
        <v/>
      </c>
      <c r="F55" s="1"/>
      <c r="G55" s="1"/>
      <c r="H55" s="25" t="str">
        <f>IF('Audit Result'!C55 = "No", IF('Audit Result'!G55 = "x", "Closed", "Open"), "")</f>
        <v/>
      </c>
      <c r="I55" s="1"/>
      <c r="J55" s="1"/>
      <c r="K55" s="1"/>
    </row>
    <row r="56" spans="1:11" ht="216" x14ac:dyDescent="0.3">
      <c r="A56" s="25" t="str">
        <f>'CL - IFA v6 Smart - AQ'!D60</f>
        <v>AQ-Smart 06.03.02</v>
      </c>
      <c r="B56" s="25" t="str">
        <f>'CL - IFA v6 Smart - AQ'!I60</f>
        <v>Major Must</v>
      </c>
      <c r="C56" s="25" t="str">
        <f>IF('CL - IFA v6 Smart - AQ'!M60 = 0,"",'CL - IFA v6 Smart - AQ'!M60)</f>
        <v>not answered/error</v>
      </c>
      <c r="D56" s="25" t="str">
        <f>IF('CL - IFA v6 Smart - AQ'!Q60 = 0, "",'CL - IFA v6 Smart - AQ'!Q60)</f>
        <v xml:space="preserve">
Document identification 
name:
code:
revision: 
date:
Parameters mentioned in the criteria are:
-XXXX
-XXXX
-XXXX
 that are monitored with respective frequence and place of sampling.</v>
      </c>
      <c r="E56" s="26" t="str">
        <f>IF('CL - IFA v6 Smart - AQ'!R60 = 0,"",'CL - IFA v6 Smart - AQ'!R60)</f>
        <v/>
      </c>
      <c r="F56" s="1"/>
      <c r="G56" s="1"/>
      <c r="H56" s="25" t="str">
        <f>IF('Audit Result'!C56 = "No", IF('Audit Result'!G56 = "x", "Closed", "Open"), "")</f>
        <v/>
      </c>
      <c r="I56" s="1"/>
      <c r="J56" s="1"/>
      <c r="K56" s="1"/>
    </row>
    <row r="57" spans="1:11" ht="201.6" x14ac:dyDescent="0.3">
      <c r="A57" s="25" t="str">
        <f>'CL - IFA v6 Smart - AQ'!D61</f>
        <v>AQ-Smart 06.03.03</v>
      </c>
      <c r="B57" s="25" t="str">
        <f>'CL - IFA v6 Smart - AQ'!I61</f>
        <v>Major Must</v>
      </c>
      <c r="C57" s="25" t="str">
        <f>IF('CL - IFA v6 Smart - AQ'!M61 = 0,"",'CL - IFA v6 Smart - AQ'!M61)</f>
        <v>not answered/error</v>
      </c>
      <c r="D57" s="25" t="str">
        <f>IF('CL - IFA v6 Smart - AQ'!Q61 = 0, "",'CL - IFA v6 Smart - AQ'!Q61)</f>
        <v>Document identification 
name:
code:
revision: 
date:
If exists, describe the analysis results showing that there is no significant negative impact on the biodiversity of the benthic fauna and/or recipient water body sediment/water column.</v>
      </c>
      <c r="E57" s="26" t="str">
        <f>IF('CL - IFA v6 Smart - AQ'!R61 = 0,"",'CL - IFA v6 Smart - AQ'!R61)</f>
        <v/>
      </c>
      <c r="F57" s="1"/>
      <c r="G57" s="1"/>
      <c r="H57" s="25" t="str">
        <f>IF('Audit Result'!C57 = "No", IF('Audit Result'!G57 = "x", "Closed", "Open"), "")</f>
        <v/>
      </c>
      <c r="I57" s="1"/>
      <c r="J57" s="1"/>
      <c r="K57" s="1"/>
    </row>
    <row r="58" spans="1:11" x14ac:dyDescent="0.3">
      <c r="A58" s="25" t="str">
        <f>'CL - IFA v6 Smart - AQ'!D62</f>
        <v>AQ-Smart 06.03.04</v>
      </c>
      <c r="B58" s="25" t="str">
        <f>'CL - IFA v6 Smart - AQ'!I62</f>
        <v>Recommendation</v>
      </c>
      <c r="C58" s="25" t="str">
        <f>IF('CL - IFA v6 Smart - AQ'!M62 = 0,"",'CL - IFA v6 Smart - AQ'!M62)</f>
        <v>not answered/error</v>
      </c>
      <c r="D58" s="25" t="str">
        <f>IF('CL - IFA v6 Smart - AQ'!Q62 = 0, "",'CL - IFA v6 Smart - AQ'!Q62)</f>
        <v/>
      </c>
      <c r="E58" s="26" t="str">
        <f>IF('CL - IFA v6 Smart - AQ'!R62 = 0,"",'CL - IFA v6 Smart - AQ'!R62)</f>
        <v/>
      </c>
      <c r="F58" s="1"/>
      <c r="G58" s="1"/>
      <c r="H58" s="25" t="str">
        <f>IF('Audit Result'!C58 = "No", IF('Audit Result'!G58 = "x", "Closed", "Open"), "")</f>
        <v/>
      </c>
      <c r="I58" s="1"/>
      <c r="J58" s="1"/>
      <c r="K58" s="1"/>
    </row>
    <row r="59" spans="1:11" ht="115.2" x14ac:dyDescent="0.3">
      <c r="A59" s="25" t="str">
        <f>'CL - IFA v6 Smart - AQ'!D63</f>
        <v>AQ-Smart 06.04.01</v>
      </c>
      <c r="B59" s="25" t="str">
        <f>'CL - IFA v6 Smart - AQ'!I63</f>
        <v>Major Must</v>
      </c>
      <c r="C59" s="25" t="str">
        <f>IF('CL - IFA v6 Smart - AQ'!M63 = 0,"",'CL - IFA v6 Smart - AQ'!M63)</f>
        <v>not answered/error</v>
      </c>
      <c r="D59" s="25" t="str">
        <f>IF('CL - IFA v6 Smart - AQ'!Q63 = 0, "",'CL - IFA v6 Smart - AQ'!Q63)</f>
        <v>Document identification 
name:
code:
revision: 
date:
Record specific restrictions checked and complied with:</v>
      </c>
      <c r="E59" s="26" t="str">
        <f>IF('CL - IFA v6 Smart - AQ'!R63 = 0,"",'CL - IFA v6 Smart - AQ'!R63)</f>
        <v/>
      </c>
      <c r="F59" s="1"/>
      <c r="G59" s="1"/>
      <c r="H59" s="25" t="str">
        <f>IF('Audit Result'!C59 = "No", IF('Audit Result'!G59 = "x", "Closed", "Open"), "")</f>
        <v/>
      </c>
      <c r="I59" s="1"/>
      <c r="J59" s="1"/>
      <c r="K59" s="1"/>
    </row>
    <row r="60" spans="1:11" x14ac:dyDescent="0.3">
      <c r="A60" s="25" t="str">
        <f>'CL - IFA v6 Smart - AQ'!D64</f>
        <v>AQ-Smart 06.04.02</v>
      </c>
      <c r="B60" s="25" t="str">
        <f>'CL - IFA v6 Smart - AQ'!I64</f>
        <v>Major Must</v>
      </c>
      <c r="C60" s="25" t="str">
        <f>IF('CL - IFA v6 Smart - AQ'!M64 = 0,"",'CL - IFA v6 Smart - AQ'!M64)</f>
        <v>not answered/error</v>
      </c>
      <c r="D60" s="25" t="str">
        <f>IF('CL - IFA v6 Smart - AQ'!Q64 = 0, "",'CL - IFA v6 Smart - AQ'!Q64)</f>
        <v/>
      </c>
      <c r="E60" s="26" t="str">
        <f>IF('CL - IFA v6 Smart - AQ'!R64 = 0,"",'CL - IFA v6 Smart - AQ'!R64)</f>
        <v/>
      </c>
      <c r="F60" s="1"/>
      <c r="G60" s="1"/>
      <c r="H60" s="25" t="str">
        <f>IF('Audit Result'!C60 = "No", IF('Audit Result'!G60 = "x", "Closed", "Open"), "")</f>
        <v/>
      </c>
      <c r="I60" s="1"/>
      <c r="J60" s="1"/>
      <c r="K60" s="1"/>
    </row>
    <row r="61" spans="1:11" ht="230.4" x14ac:dyDescent="0.3">
      <c r="A61" s="25" t="str">
        <f>'CL - IFA v6 Smart - AQ'!D65</f>
        <v>AQ-Smart 06.04.03</v>
      </c>
      <c r="B61" s="25" t="str">
        <f>'CL - IFA v6 Smart - AQ'!I65</f>
        <v>Major Must</v>
      </c>
      <c r="C61" s="25" t="str">
        <f>IF('CL - IFA v6 Smart - AQ'!M65 = 0,"",'CL - IFA v6 Smart - AQ'!M65)</f>
        <v>not answered/error</v>
      </c>
      <c r="D61" s="25" t="str">
        <f>IF('CL - IFA v6 Smart - AQ'!Q65 = 0, "",'CL - IFA v6 Smart - AQ'!Q65)</f>
        <v>Sampling plan and results for inlet water
Document identification 
name:
code:
revision: 
date:
Sampling plan and results for outlet water based on the EIA (AQ 06.03.01)
Document identification 
name:
code:
revision: 
date:</v>
      </c>
      <c r="E61" s="26" t="str">
        <f>IF('CL - IFA v6 Smart - AQ'!R65 = 0,"",'CL - IFA v6 Smart - AQ'!R65)</f>
        <v/>
      </c>
      <c r="F61" s="1"/>
      <c r="G61" s="1"/>
      <c r="H61" s="25" t="str">
        <f>IF('Audit Result'!C61 = "No", IF('Audit Result'!G61 = "x", "Closed", "Open"), "")</f>
        <v/>
      </c>
      <c r="I61" s="1"/>
      <c r="J61" s="1"/>
      <c r="K61" s="1"/>
    </row>
    <row r="62" spans="1:11" x14ac:dyDescent="0.3">
      <c r="A62" s="25" t="str">
        <f>'CL - IFA v6 Smart - AQ'!D66</f>
        <v>AQ-Smart 06.04.04</v>
      </c>
      <c r="B62" s="25" t="str">
        <f>'CL - IFA v6 Smart - AQ'!I66</f>
        <v>Recommendation</v>
      </c>
      <c r="C62" s="25" t="str">
        <f>IF('CL - IFA v6 Smart - AQ'!M66 = 0,"",'CL - IFA v6 Smart - AQ'!M66)</f>
        <v>not answered/error</v>
      </c>
      <c r="D62" s="25" t="str">
        <f>IF('CL - IFA v6 Smart - AQ'!Q66 = 0, "",'CL - IFA v6 Smart - AQ'!Q66)</f>
        <v/>
      </c>
      <c r="E62" s="26" t="str">
        <f>IF('CL - IFA v6 Smart - AQ'!R66 = 0,"",'CL - IFA v6 Smart - AQ'!R66)</f>
        <v/>
      </c>
      <c r="F62" s="1"/>
      <c r="G62" s="1"/>
      <c r="H62" s="25" t="str">
        <f>IF('Audit Result'!C62 = "No", IF('Audit Result'!G62 = "x", "Closed", "Open"), "")</f>
        <v/>
      </c>
      <c r="I62" s="1"/>
      <c r="J62" s="1"/>
      <c r="K62" s="1"/>
    </row>
    <row r="63" spans="1:11" ht="57.6" x14ac:dyDescent="0.3">
      <c r="A63" s="25" t="str">
        <f>'CL - IFA v6 Smart - AQ'!D67</f>
        <v>AQ-Smart 06.04.05</v>
      </c>
      <c r="B63" s="25" t="str">
        <f>'CL - IFA v6 Smart - AQ'!I67</f>
        <v>Major Must</v>
      </c>
      <c r="C63" s="25" t="str">
        <f>IF('CL - IFA v6 Smart - AQ'!M67 = 0,"",'CL - IFA v6 Smart - AQ'!M67)</f>
        <v>not answered/error</v>
      </c>
      <c r="D63" s="25" t="str">
        <f>IF('CL - IFA v6 Smart - AQ'!Q67 = 0, "",'CL - IFA v6 Smart - AQ'!Q67)</f>
        <v xml:space="preserve">Description of water storage system.
Records of cleaning and maintenance. </v>
      </c>
      <c r="E63" s="26" t="str">
        <f>IF('CL - IFA v6 Smart - AQ'!R67 = 0,"",'CL - IFA v6 Smart - AQ'!R67)</f>
        <v/>
      </c>
      <c r="F63" s="1"/>
      <c r="G63" s="1"/>
      <c r="H63" s="25" t="str">
        <f>IF('Audit Result'!C63 = "No", IF('Audit Result'!G63 = "x", "Closed", "Open"), "")</f>
        <v/>
      </c>
      <c r="I63" s="1"/>
      <c r="J63" s="1"/>
      <c r="K63" s="1"/>
    </row>
    <row r="64" spans="1:11" ht="28.8" x14ac:dyDescent="0.3">
      <c r="A64" s="25" t="str">
        <f>'CL - IFA v6 Smart - AQ'!D68</f>
        <v>AQ-Smart 06.04.06</v>
      </c>
      <c r="B64" s="25" t="str">
        <f>'CL - IFA v6 Smart - AQ'!I68</f>
        <v>Major Must</v>
      </c>
      <c r="C64" s="25" t="str">
        <f>IF('CL - IFA v6 Smart - AQ'!M68 = 0,"",'CL - IFA v6 Smart - AQ'!M68)</f>
        <v>not answered/error</v>
      </c>
      <c r="D64" s="25" t="str">
        <f>IF('CL - IFA v6 Smart - AQ'!Q68 = 0, "",'CL - IFA v6 Smart - AQ'!Q68)</f>
        <v xml:space="preserve">Verification to be done together with AQ 06.04.03. </v>
      </c>
      <c r="E64" s="26" t="str">
        <f>IF('CL - IFA v6 Smart - AQ'!R68 = 0,"",'CL - IFA v6 Smart - AQ'!R68)</f>
        <v/>
      </c>
      <c r="F64" s="1"/>
      <c r="G64" s="1"/>
      <c r="H64" s="25" t="str">
        <f>IF('Audit Result'!C64 = "No", IF('Audit Result'!G64 = "x", "Closed", "Open"), "")</f>
        <v/>
      </c>
      <c r="I64" s="1"/>
      <c r="J64" s="1"/>
      <c r="K64" s="1"/>
    </row>
    <row r="65" spans="1:11" x14ac:dyDescent="0.3">
      <c r="A65" s="25" t="str">
        <f>'CL - IFA v6 Smart - AQ'!D69</f>
        <v>AQ-Smart 07.01.01</v>
      </c>
      <c r="B65" s="25" t="str">
        <f>'CL - IFA v6 Smart - AQ'!I69</f>
        <v>Major Must</v>
      </c>
      <c r="C65" s="25" t="str">
        <f>IF('CL - IFA v6 Smart - AQ'!M69 = 0,"",'CL - IFA v6 Smart - AQ'!M69)</f>
        <v>not answered/error</v>
      </c>
      <c r="D65" s="25" t="str">
        <f>IF('CL - IFA v6 Smart - AQ'!Q69 = 0, "",'CL - IFA v6 Smart - AQ'!Q69)</f>
        <v/>
      </c>
      <c r="E65" s="26" t="str">
        <f>IF('CL - IFA v6 Smart - AQ'!R69 = 0,"",'CL - IFA v6 Smart - AQ'!R69)</f>
        <v/>
      </c>
      <c r="F65" s="1"/>
      <c r="G65" s="1"/>
      <c r="H65" s="25" t="str">
        <f>IF('Audit Result'!C65 = "No", IF('Audit Result'!G65 = "x", "Closed", "Open"), "")</f>
        <v/>
      </c>
      <c r="I65" s="1"/>
      <c r="J65" s="1"/>
      <c r="K65" s="1"/>
    </row>
    <row r="66" spans="1:11" x14ac:dyDescent="0.3">
      <c r="A66" s="25" t="str">
        <f>'CL - IFA v6 Smart - AQ'!D70</f>
        <v>AQ-Smart 07.01.02</v>
      </c>
      <c r="B66" s="25" t="str">
        <f>'CL - IFA v6 Smart - AQ'!I70</f>
        <v>Recommendation</v>
      </c>
      <c r="C66" s="25" t="str">
        <f>IF('CL - IFA v6 Smart - AQ'!M70 = 0,"",'CL - IFA v6 Smart - AQ'!M70)</f>
        <v>not answered/error</v>
      </c>
      <c r="D66" s="25" t="str">
        <f>IF('CL - IFA v6 Smart - AQ'!Q70 = 0, "",'CL - IFA v6 Smart - AQ'!Q70)</f>
        <v/>
      </c>
      <c r="E66" s="26" t="str">
        <f>IF('CL - IFA v6 Smart - AQ'!R70 = 0,"",'CL - IFA v6 Smart - AQ'!R70)</f>
        <v/>
      </c>
      <c r="F66" s="1"/>
      <c r="G66" s="1"/>
      <c r="H66" s="25" t="str">
        <f>IF('Audit Result'!C66 = "No", IF('Audit Result'!G66 = "x", "Closed", "Open"), "")</f>
        <v/>
      </c>
      <c r="I66" s="1"/>
      <c r="J66" s="1"/>
      <c r="K66" s="1"/>
    </row>
    <row r="67" spans="1:11" ht="72" x14ac:dyDescent="0.3">
      <c r="A67" s="25" t="str">
        <f>'CL - IFA v6 Smart - AQ'!D71</f>
        <v>AQ-Smart 07.02.01</v>
      </c>
      <c r="B67" s="25" t="str">
        <f>'CL - IFA v6 Smart - AQ'!I71</f>
        <v>Major Must</v>
      </c>
      <c r="C67" s="25" t="str">
        <f>IF('CL - IFA v6 Smart - AQ'!M71 = 0,"",'CL - IFA v6 Smart - AQ'!M71)</f>
        <v>not answered/error</v>
      </c>
      <c r="D67" s="25" t="str">
        <f>IF('CL - IFA v6 Smart - AQ'!Q71 = 0, "",'CL - IFA v6 Smart - AQ'!Q71)</f>
        <v>Document identification 
name:
code:
revision: 
date:</v>
      </c>
      <c r="E67" s="26" t="str">
        <f>IF('CL - IFA v6 Smart - AQ'!R71 = 0,"",'CL - IFA v6 Smart - AQ'!R71)</f>
        <v/>
      </c>
      <c r="F67" s="1"/>
      <c r="G67" s="1"/>
      <c r="H67" s="25" t="str">
        <f>IF('Audit Result'!C67 = "No", IF('Audit Result'!G67 = "x", "Closed", "Open"), "")</f>
        <v/>
      </c>
      <c r="I67" s="1"/>
      <c r="J67" s="1"/>
      <c r="K67" s="1"/>
    </row>
    <row r="68" spans="1:11" x14ac:dyDescent="0.3">
      <c r="A68" s="25" t="str">
        <f>'CL - IFA v6 Smart - AQ'!D72</f>
        <v>AQ-Smart 07.02.02</v>
      </c>
      <c r="B68" s="25" t="str">
        <f>'CL - IFA v6 Smart - AQ'!I72</f>
        <v>Major Must</v>
      </c>
      <c r="C68" s="25" t="str">
        <f>IF('CL - IFA v6 Smart - AQ'!M72 = 0,"",'CL - IFA v6 Smart - AQ'!M72)</f>
        <v>not answered/error</v>
      </c>
      <c r="D68" s="25" t="str">
        <f>IF('CL - IFA v6 Smart - AQ'!Q72 = 0, "",'CL - IFA v6 Smart - AQ'!Q72)</f>
        <v/>
      </c>
      <c r="E68" s="26" t="str">
        <f>IF('CL - IFA v6 Smart - AQ'!R72 = 0,"",'CL - IFA v6 Smart - AQ'!R72)</f>
        <v/>
      </c>
      <c r="F68" s="1"/>
      <c r="G68" s="1"/>
      <c r="H68" s="25" t="str">
        <f>IF('Audit Result'!C68 = "No", IF('Audit Result'!G68 = "x", "Closed", "Open"), "")</f>
        <v/>
      </c>
      <c r="I68" s="1"/>
      <c r="J68" s="1"/>
      <c r="K68" s="1"/>
    </row>
    <row r="69" spans="1:11" ht="72" x14ac:dyDescent="0.3">
      <c r="A69" s="25" t="str">
        <f>'CL - IFA v6 Smart - AQ'!D73</f>
        <v>AQ-Smart 07.02.03</v>
      </c>
      <c r="B69" s="25" t="str">
        <f>'CL - IFA v6 Smart - AQ'!I73</f>
        <v>Major Must</v>
      </c>
      <c r="C69" s="25" t="str">
        <f>IF('CL - IFA v6 Smart - AQ'!M73 = 0,"",'CL - IFA v6 Smart - AQ'!M73)</f>
        <v>not answered/error</v>
      </c>
      <c r="D69" s="25" t="str">
        <f>IF('CL - IFA v6 Smart - AQ'!Q73 = 0, "",'CL - IFA v6 Smart - AQ'!Q73)</f>
        <v>Document identification 
name:
code:
revision: 
date:</v>
      </c>
      <c r="E69" s="26" t="str">
        <f>IF('CL - IFA v6 Smart - AQ'!R73 = 0,"",'CL - IFA v6 Smart - AQ'!R73)</f>
        <v/>
      </c>
      <c r="F69" s="1"/>
      <c r="G69" s="1"/>
      <c r="H69" s="25" t="str">
        <f>IF('Audit Result'!C69 = "No", IF('Audit Result'!G69 = "x", "Closed", "Open"), "")</f>
        <v/>
      </c>
      <c r="I69" s="1"/>
      <c r="J69" s="1"/>
      <c r="K69" s="1"/>
    </row>
    <row r="70" spans="1:11" ht="172.8" x14ac:dyDescent="0.3">
      <c r="A70" s="25" t="str">
        <f>'CL - IFA v6 Smart - AQ'!D74</f>
        <v>AQ-Smart 07.03.01</v>
      </c>
      <c r="B70" s="25" t="str">
        <f>'CL - IFA v6 Smart - AQ'!I74</f>
        <v>Major Must</v>
      </c>
      <c r="C70" s="25" t="str">
        <f>IF('CL - IFA v6 Smart - AQ'!M74 = 0,"",'CL - IFA v6 Smart - AQ'!M74)</f>
        <v>not answered/error</v>
      </c>
      <c r="D70" s="25" t="str">
        <f>IF('CL - IFA v6 Smart - AQ'!Q74 = 0, "",'CL - IFA v6 Smart - AQ'!Q74)</f>
        <v>Document identification of escapes in the previous certification cycle
name:
code:
revision: 
date:  
If escapes took place, evidence that this has been reported to the authorities
Ref. XXXX</v>
      </c>
      <c r="E70" s="26" t="str">
        <f>IF('CL - IFA v6 Smart - AQ'!R74 = 0,"",'CL - IFA v6 Smart - AQ'!R74)</f>
        <v/>
      </c>
      <c r="F70" s="1"/>
      <c r="G70" s="1"/>
      <c r="H70" s="25" t="str">
        <f>IF('Audit Result'!C70 = "No", IF('Audit Result'!G70 = "x", "Closed", "Open"), "")</f>
        <v/>
      </c>
      <c r="I70" s="1"/>
      <c r="J70" s="1"/>
      <c r="K70" s="1"/>
    </row>
    <row r="71" spans="1:11" ht="100.8" x14ac:dyDescent="0.3">
      <c r="A71" s="25" t="str">
        <f>'CL - IFA v6 Smart - AQ'!D75</f>
        <v>AQ-Smart 07.04.01</v>
      </c>
      <c r="B71" s="25" t="str">
        <f>'CL - IFA v6 Smart - AQ'!I75</f>
        <v>Major Must</v>
      </c>
      <c r="C71" s="25" t="str">
        <f>IF('CL - IFA v6 Smart - AQ'!M75 = 0,"",'CL - IFA v6 Smart - AQ'!M75)</f>
        <v>not answered/error</v>
      </c>
      <c r="D71" s="25" t="str">
        <f>IF('CL - IFA v6 Smart - AQ'!Q75 = 0, "",'CL - IFA v6 Smart - AQ'!Q75)</f>
        <v>Evidence that the farm site or related facilities are not within a PA:
-XXXX
Confirm the geo-coordinates and the date of the last verification (date: XXXX)</v>
      </c>
      <c r="E71" s="26" t="str">
        <f>IF('CL - IFA v6 Smart - AQ'!R75 = 0,"",'CL - IFA v6 Smart - AQ'!R75)</f>
        <v/>
      </c>
      <c r="F71" s="1"/>
      <c r="G71" s="1"/>
      <c r="H71" s="25" t="str">
        <f>IF('Audit Result'!C71 = "No", IF('Audit Result'!G71 = "x", "Closed", "Open"), "")</f>
        <v/>
      </c>
      <c r="I71" s="1"/>
      <c r="J71" s="1"/>
      <c r="K71" s="1"/>
    </row>
    <row r="72" spans="1:11" ht="172.8" x14ac:dyDescent="0.3">
      <c r="A72" s="25" t="str">
        <f>'CL - IFA v6 Smart - AQ'!D76</f>
        <v>AQ-Smart 07.04.02</v>
      </c>
      <c r="B72" s="25" t="str">
        <f>'CL - IFA v6 Smart - AQ'!I76</f>
        <v>Major Must</v>
      </c>
      <c r="C72" s="25" t="str">
        <f>IF('CL - IFA v6 Smart - AQ'!M76 = 0,"",'CL - IFA v6 Smart - AQ'!M76)</f>
        <v>not answered/error</v>
      </c>
      <c r="D72" s="25" t="str">
        <f>IF('CL - IFA v6 Smart - AQ'!Q76 = 0, "",'CL - IFA v6 Smart - AQ'!Q76)</f>
        <v>Document identification 
name:
code:
revision: 
date:
Date of the farm site establishment XXXX, the prior land use/status was: XXXX, habitat types XXXX, and the source of information is XXXX.</v>
      </c>
      <c r="E72" s="26" t="str">
        <f>IF('CL - IFA v6 Smart - AQ'!R76 = 0,"",'CL - IFA v6 Smart - AQ'!R76)</f>
        <v/>
      </c>
      <c r="F72" s="1"/>
      <c r="G72" s="1"/>
      <c r="H72" s="25" t="str">
        <f>IF('Audit Result'!C72 = "No", IF('Audit Result'!G72 = "x", "Closed", "Open"), "")</f>
        <v/>
      </c>
      <c r="I72" s="1"/>
      <c r="J72" s="1"/>
      <c r="K72" s="1"/>
    </row>
    <row r="73" spans="1:11" ht="230.4" x14ac:dyDescent="0.3">
      <c r="A73" s="25" t="str">
        <f>'CL - IFA v6 Smart - AQ'!D77</f>
        <v>AQ-Smart 07.04.03</v>
      </c>
      <c r="B73" s="25" t="str">
        <f>'CL - IFA v6 Smart - AQ'!I77</f>
        <v>Major Must</v>
      </c>
      <c r="C73" s="25" t="str">
        <f>IF('CL - IFA v6 Smart - AQ'!M77 = 0,"",'CL - IFA v6 Smart - AQ'!M77)</f>
        <v>not answered/error</v>
      </c>
      <c r="D73" s="25" t="str">
        <f>IF('CL - IFA v6 Smart - AQ'!Q77 = 0, "",'CL - IFA v6 Smart - AQ'!Q77)</f>
        <v>Document identification 
name:
code:
revision: 
date:
Date of the farm site establishment XXXX.
 If apply, describe the rehabilitation plan (objective, time frame, means, activities, expected output, financing and compensation provisions in agreement with local communities).</v>
      </c>
      <c r="E73" s="26" t="str">
        <f>IF('CL - IFA v6 Smart - AQ'!R77 = 0,"",'CL - IFA v6 Smart - AQ'!R77)</f>
        <v/>
      </c>
      <c r="F73" s="1"/>
      <c r="G73" s="1"/>
      <c r="H73" s="25" t="str">
        <f>IF('Audit Result'!C73 = "No", IF('Audit Result'!G73 = "x", "Closed", "Open"), "")</f>
        <v/>
      </c>
      <c r="I73" s="1"/>
      <c r="J73" s="1"/>
      <c r="K73" s="1"/>
    </row>
    <row r="74" spans="1:11" ht="72" x14ac:dyDescent="0.3">
      <c r="A74" s="25" t="str">
        <f>'CL - IFA v6 Smart - AQ'!D78</f>
        <v>AQ-Smart 07.04.04</v>
      </c>
      <c r="B74" s="25" t="str">
        <f>'CL - IFA v6 Smart - AQ'!I78</f>
        <v>Major Must</v>
      </c>
      <c r="C74" s="25" t="str">
        <f>IF('CL - IFA v6 Smart - AQ'!M78 = 0,"",'CL - IFA v6 Smart - AQ'!M78)</f>
        <v>not answered/error</v>
      </c>
      <c r="D74" s="25" t="str">
        <f>IF('CL - IFA v6 Smart - AQ'!Q78 = 0, "",'CL - IFA v6 Smart - AQ'!Q78)</f>
        <v>Document identification 
name:
code:
revision: 
date:</v>
      </c>
      <c r="E74" s="26" t="str">
        <f>IF('CL - IFA v6 Smart - AQ'!R78 = 0,"",'CL - IFA v6 Smart - AQ'!R78)</f>
        <v/>
      </c>
      <c r="F74" s="1"/>
      <c r="G74" s="1"/>
      <c r="H74" s="25" t="str">
        <f>IF('Audit Result'!C74 = "No", IF('Audit Result'!G74 = "x", "Closed", "Open"), "")</f>
        <v/>
      </c>
      <c r="I74" s="1"/>
      <c r="J74" s="1"/>
      <c r="K74" s="1"/>
    </row>
    <row r="75" spans="1:11" ht="86.4" x14ac:dyDescent="0.3">
      <c r="A75" s="25" t="str">
        <f>'CL - IFA v6 Smart - AQ'!D79</f>
        <v>AQ-Smart 07.04.05</v>
      </c>
      <c r="B75" s="25" t="str">
        <f>'CL - IFA v6 Smart - AQ'!I79</f>
        <v>Major Must</v>
      </c>
      <c r="C75" s="25" t="str">
        <f>IF('CL - IFA v6 Smart - AQ'!M79 = 0,"",'CL - IFA v6 Smart - AQ'!M79)</f>
        <v>not answered/error</v>
      </c>
      <c r="D75" s="25" t="str">
        <f>IF('CL - IFA v6 Smart - AQ'!Q79 = 0, "",'CL - IFA v6 Smart - AQ'!Q79)</f>
        <v>Document identification 
name:
code:
revision: 
date:
date of the official permit:</v>
      </c>
      <c r="E75" s="26" t="str">
        <f>IF('CL - IFA v6 Smart - AQ'!R79 = 0,"",'CL - IFA v6 Smart - AQ'!R79)</f>
        <v/>
      </c>
      <c r="F75" s="1"/>
      <c r="G75" s="1"/>
      <c r="H75" s="25" t="str">
        <f>IF('Audit Result'!C75 = "No", IF('Audit Result'!G75 = "x", "Closed", "Open"), "")</f>
        <v/>
      </c>
      <c r="I75" s="1"/>
      <c r="J75" s="1"/>
      <c r="K75" s="1"/>
    </row>
    <row r="76" spans="1:11" ht="72" x14ac:dyDescent="0.3">
      <c r="A76" s="25" t="str">
        <f>'CL - IFA v6 Smart - AQ'!D80</f>
        <v>AQ-Smart 07.04.06</v>
      </c>
      <c r="B76" s="25" t="str">
        <f>'CL - IFA v6 Smart - AQ'!I80</f>
        <v>Major Must</v>
      </c>
      <c r="C76" s="25" t="str">
        <f>IF('CL - IFA v6 Smart - AQ'!M80 = 0,"",'CL - IFA v6 Smart - AQ'!M80)</f>
        <v>not answered/error</v>
      </c>
      <c r="D76" s="25" t="str">
        <f>IF('CL - IFA v6 Smart - AQ'!Q80 = 0, "",'CL - IFA v6 Smart - AQ'!Q80)</f>
        <v>Document identification 
name:
code:
revision: 
date:</v>
      </c>
      <c r="E76" s="26" t="str">
        <f>IF('CL - IFA v6 Smart - AQ'!R80 = 0,"",'CL - IFA v6 Smart - AQ'!R80)</f>
        <v/>
      </c>
      <c r="F76" s="1"/>
      <c r="G76" s="1"/>
      <c r="H76" s="25" t="str">
        <f>IF('Audit Result'!C76 = "No", IF('Audit Result'!G76 = "x", "Closed", "Open"), "")</f>
        <v/>
      </c>
      <c r="I76" s="1"/>
      <c r="J76" s="1"/>
      <c r="K76" s="1"/>
    </row>
    <row r="77" spans="1:11" x14ac:dyDescent="0.3">
      <c r="A77" s="25" t="str">
        <f>'CL - IFA v6 Smart - AQ'!D81</f>
        <v>AQ-Smart 07.05.01</v>
      </c>
      <c r="B77" s="25" t="str">
        <f>'CL - IFA v6 Smart - AQ'!I81</f>
        <v>Recommendation</v>
      </c>
      <c r="C77" s="25" t="str">
        <f>IF('CL - IFA v6 Smart - AQ'!M81 = 0,"",'CL - IFA v6 Smart - AQ'!M81)</f>
        <v>not answered/error</v>
      </c>
      <c r="D77" s="25" t="str">
        <f>IF('CL - IFA v6 Smart - AQ'!Q81 = 0, "",'CL - IFA v6 Smart - AQ'!Q81)</f>
        <v/>
      </c>
      <c r="E77" s="26" t="str">
        <f>IF('CL - IFA v6 Smart - AQ'!R81 = 0,"",'CL - IFA v6 Smart - AQ'!R81)</f>
        <v/>
      </c>
      <c r="F77" s="1"/>
      <c r="G77" s="1"/>
      <c r="H77" s="25" t="str">
        <f>IF('Audit Result'!C77 = "No", IF('Audit Result'!G77 = "x", "Closed", "Open"), "")</f>
        <v/>
      </c>
      <c r="I77" s="1"/>
      <c r="J77" s="1"/>
      <c r="K77" s="1"/>
    </row>
    <row r="78" spans="1:11" x14ac:dyDescent="0.3">
      <c r="A78" s="25" t="str">
        <f>'CL - IFA v6 Smart - AQ'!D82</f>
        <v>AQ-Smart 07.06.01</v>
      </c>
      <c r="B78" s="25" t="str">
        <f>'CL - IFA v6 Smart - AQ'!I82</f>
        <v>Minor Must</v>
      </c>
      <c r="C78" s="25" t="str">
        <f>IF('CL - IFA v6 Smart - AQ'!M82 = 0,"",'CL - IFA v6 Smart - AQ'!M82)</f>
        <v>not answered/error</v>
      </c>
      <c r="D78" s="25" t="str">
        <f>IF('CL - IFA v6 Smart - AQ'!Q82 = 0, "",'CL - IFA v6 Smart - AQ'!Q82)</f>
        <v/>
      </c>
      <c r="E78" s="26" t="str">
        <f>IF('CL - IFA v6 Smart - AQ'!R82 = 0,"",'CL - IFA v6 Smart - AQ'!R82)</f>
        <v/>
      </c>
      <c r="F78" s="1"/>
      <c r="G78" s="1"/>
      <c r="H78" s="25" t="str">
        <f>IF('Audit Result'!C78 = "No", IF('Audit Result'!G78 = "x", "Closed", "Open"), "")</f>
        <v/>
      </c>
      <c r="I78" s="1"/>
      <c r="J78" s="1"/>
      <c r="K78" s="1"/>
    </row>
    <row r="79" spans="1:11" ht="72" x14ac:dyDescent="0.3">
      <c r="A79" s="25" t="str">
        <f>'CL - IFA v6 Smart - AQ'!D83</f>
        <v>AQ-Smart 07.06.02</v>
      </c>
      <c r="B79" s="25" t="str">
        <f>'CL - IFA v6 Smart - AQ'!I83</f>
        <v>Minor Must</v>
      </c>
      <c r="C79" s="25" t="str">
        <f>IF('CL - IFA v6 Smart - AQ'!M83 = 0,"",'CL - IFA v6 Smart - AQ'!M83)</f>
        <v>not answered/error</v>
      </c>
      <c r="D79" s="25" t="str">
        <f>IF('CL - IFA v6 Smart - AQ'!Q83 = 0, "",'CL - IFA v6 Smart - AQ'!Q83)</f>
        <v>Document identification 
name:
code:
revision: 
date:</v>
      </c>
      <c r="E79" s="26" t="str">
        <f>IF('CL - IFA v6 Smart - AQ'!R83 = 0,"",'CL - IFA v6 Smart - AQ'!R83)</f>
        <v/>
      </c>
      <c r="F79" s="1"/>
      <c r="G79" s="1"/>
      <c r="H79" s="25" t="str">
        <f>IF('Audit Result'!C79 = "No", IF('Audit Result'!G79 = "x", "Closed", "Open"), "")</f>
        <v/>
      </c>
      <c r="I79" s="1"/>
      <c r="J79" s="1"/>
      <c r="K79" s="1"/>
    </row>
    <row r="80" spans="1:11" x14ac:dyDescent="0.3">
      <c r="A80" s="25" t="str">
        <f>'CL - IFA v6 Smart - AQ'!D84</f>
        <v>AQ-Smart 07.06.03</v>
      </c>
      <c r="B80" s="25" t="str">
        <f>'CL - IFA v6 Smart - AQ'!I84</f>
        <v>Minor Must</v>
      </c>
      <c r="C80" s="25" t="str">
        <f>IF('CL - IFA v6 Smart - AQ'!M84 = 0,"",'CL - IFA v6 Smart - AQ'!M84)</f>
        <v>not answered/error</v>
      </c>
      <c r="D80" s="25" t="str">
        <f>IF('CL - IFA v6 Smart - AQ'!Q84 = 0, "",'CL - IFA v6 Smart - AQ'!Q84)</f>
        <v/>
      </c>
      <c r="E80" s="26" t="str">
        <f>IF('CL - IFA v6 Smart - AQ'!R84 = 0,"",'CL - IFA v6 Smart - AQ'!R84)</f>
        <v/>
      </c>
      <c r="F80" s="1"/>
      <c r="G80" s="1"/>
      <c r="H80" s="25" t="str">
        <f>IF('Audit Result'!C80 = "No", IF('Audit Result'!G80 = "x", "Closed", "Open"), "")</f>
        <v/>
      </c>
      <c r="I80" s="1"/>
      <c r="J80" s="1"/>
      <c r="K80" s="1"/>
    </row>
    <row r="81" spans="1:11" ht="72" x14ac:dyDescent="0.3">
      <c r="A81" s="25" t="str">
        <f>'CL - IFA v6 Smart - AQ'!D85</f>
        <v>AQ-Smart 08.01</v>
      </c>
      <c r="B81" s="25" t="str">
        <f>'CL - IFA v6 Smart - AQ'!I85</f>
        <v>Major Must</v>
      </c>
      <c r="C81" s="25" t="str">
        <f>IF('CL - IFA v6 Smart - AQ'!M85 = 0,"",'CL - IFA v6 Smart - AQ'!M85)</f>
        <v>not answered/error</v>
      </c>
      <c r="D81" s="25" t="str">
        <f>IF('CL - IFA v6 Smart - AQ'!Q85 = 0, "",'CL - IFA v6 Smart - AQ'!Q85)</f>
        <v>Document identification 
name:
code:
revision: 
date:</v>
      </c>
      <c r="E81" s="26" t="str">
        <f>IF('CL - IFA v6 Smart - AQ'!R85 = 0,"",'CL - IFA v6 Smart - AQ'!R85)</f>
        <v/>
      </c>
      <c r="F81" s="1"/>
      <c r="G81" s="1"/>
      <c r="H81" s="25" t="str">
        <f>IF('Audit Result'!C81 = "No", IF('Audit Result'!G81 = "x", "Closed", "Open"), "")</f>
        <v/>
      </c>
      <c r="I81" s="1"/>
      <c r="J81" s="1"/>
      <c r="K81" s="1"/>
    </row>
    <row r="82" spans="1:11" ht="216" x14ac:dyDescent="0.3">
      <c r="A82" s="25" t="str">
        <f>'CL - IFA v6 Smart - AQ'!D86</f>
        <v>AQ-Smart 09.01</v>
      </c>
      <c r="B82" s="25" t="str">
        <f>'CL - IFA v6 Smart - AQ'!I86</f>
        <v>Major Must</v>
      </c>
      <c r="C82" s="25" t="str">
        <f>IF('CL - IFA v6 Smart - AQ'!M86 = 0,"",'CL - IFA v6 Smart - AQ'!M86)</f>
        <v>not answered/error</v>
      </c>
      <c r="D82" s="25" t="str">
        <f>IF('CL - IFA v6 Smart - AQ'!Q86 = 0, "",'CL - IFA v6 Smart - AQ'!Q86)</f>
        <v>Recall and withdrawal procedure
name:
code:
revision: 
date:
Date of mock recall test:XXX
Name of product XXX and batch XXX date involved in the mock recall test: XXX
Documented procedures are in place to effectively manage the withdrawal of registered products.</v>
      </c>
      <c r="E82" s="26" t="str">
        <f>IF('CL - IFA v6 Smart - AQ'!R86 = 0,"",'CL - IFA v6 Smart - AQ'!R86)</f>
        <v/>
      </c>
      <c r="F82" s="1"/>
      <c r="G82" s="1"/>
      <c r="H82" s="25" t="str">
        <f>IF('Audit Result'!C82 = "No", IF('Audit Result'!G82 = "x", "Closed", "Open"), "")</f>
        <v/>
      </c>
      <c r="I82" s="1"/>
      <c r="J82" s="1"/>
      <c r="K82" s="1"/>
    </row>
    <row r="83" spans="1:11" ht="28.8" x14ac:dyDescent="0.3">
      <c r="A83" s="25" t="str">
        <f>'CL - IFA v6 Smart - AQ'!D87</f>
        <v>AQ-Smart 10.01</v>
      </c>
      <c r="B83" s="25" t="str">
        <f>'CL - IFA v6 Smart - AQ'!I87</f>
        <v>Major Must</v>
      </c>
      <c r="C83" s="25" t="str">
        <f>IF('CL - IFA v6 Smart - AQ'!M87 = 0,"",'CL - IFA v6 Smart - AQ'!M87)</f>
        <v>not answered/error</v>
      </c>
      <c r="D83" s="25" t="str">
        <f>IF('CL - IFA v6 Smart - AQ'!Q87 = 0, "",'CL - IFA v6 Smart - AQ'!Q87)</f>
        <v>FOOD DEFENSE Plan: XXX dated_ XX rev_XXX</v>
      </c>
      <c r="E83" s="26" t="str">
        <f>IF('CL - IFA v6 Smart - AQ'!R87 = 0,"",'CL - IFA v6 Smart - AQ'!R87)</f>
        <v/>
      </c>
      <c r="F83" s="1"/>
      <c r="G83" s="1"/>
      <c r="H83" s="25" t="str">
        <f>IF('Audit Result'!C83 = "No", IF('Audit Result'!G83 = "x", "Closed", "Open"), "")</f>
        <v/>
      </c>
      <c r="I83" s="1"/>
      <c r="J83" s="1"/>
      <c r="K83" s="1"/>
    </row>
    <row r="84" spans="1:11" ht="129.6" x14ac:dyDescent="0.3">
      <c r="A84" s="25" t="str">
        <f>'CL - IFA v6 Smart - AQ'!D88</f>
        <v>AQ-Smart 11.01</v>
      </c>
      <c r="B84" s="25" t="str">
        <f>'CL - IFA v6 Smart - AQ'!I88</f>
        <v>Major Must</v>
      </c>
      <c r="C84" s="25" t="str">
        <f>IF('CL - IFA v6 Smart - AQ'!M88 = 0,"",'CL - IFA v6 Smart - AQ'!M88)</f>
        <v>not answered/error</v>
      </c>
      <c r="D84" s="25" t="str">
        <f>IF('CL - IFA v6 Smart - AQ'!Q88 = 0, "",'CL - IFA v6 Smart - AQ'!Q88)</f>
        <v xml:space="preserve">Indicate the GLOBALG.A.P. certification status and GGN used, how it is used, the type of transaction record checked, the reference number, and the date.
In the case of an initial audit, write: “N/A. Initial audit.” </v>
      </c>
      <c r="E84" s="26" t="str">
        <f>IF('CL - IFA v6 Smart - AQ'!R88 = 0,"",'CL - IFA v6 Smart - AQ'!R88)</f>
        <v/>
      </c>
      <c r="F84" s="1"/>
      <c r="G84" s="1"/>
      <c r="H84" s="25" t="str">
        <f>IF('Audit Result'!C84 = "No", IF('Audit Result'!G84 = "x", "Closed", "Open"), "")</f>
        <v/>
      </c>
      <c r="I84" s="1"/>
      <c r="J84" s="1"/>
      <c r="K84" s="1"/>
    </row>
    <row r="85" spans="1:11" ht="57.6" x14ac:dyDescent="0.3">
      <c r="A85" s="25" t="str">
        <f>'CL - IFA v6 Smart - AQ'!D89</f>
        <v>AQ-Smart 12.01</v>
      </c>
      <c r="B85" s="25" t="str">
        <f>'CL - IFA v6 Smart - AQ'!I89</f>
        <v>Major Must</v>
      </c>
      <c r="C85" s="25" t="str">
        <f>IF('CL - IFA v6 Smart - AQ'!M89 = 0,"",'CL - IFA v6 Smart - AQ'!M89)</f>
        <v>not answered/error</v>
      </c>
      <c r="D85" s="25" t="str">
        <f>IF('CL - IFA v6 Smart - AQ'!Q89 = 0, "",'CL - IFA v6 Smart - AQ'!Q89)</f>
        <v>Record where the GLOBALG.A.P. trademarks/logos are used by the producer.</v>
      </c>
      <c r="E85" s="26" t="str">
        <f>IF('CL - IFA v6 Smart - AQ'!R89 = 0,"",'CL - IFA v6 Smart - AQ'!R89)</f>
        <v/>
      </c>
      <c r="F85" s="1"/>
      <c r="G85" s="1"/>
      <c r="H85" s="25" t="str">
        <f>IF('Audit Result'!C85 = "No", IF('Audit Result'!G85 = "x", "Closed", "Open"), "")</f>
        <v/>
      </c>
      <c r="I85" s="1"/>
      <c r="J85" s="1"/>
      <c r="K85" s="1"/>
    </row>
    <row r="86" spans="1:11" ht="158.4" x14ac:dyDescent="0.3">
      <c r="A86" s="25" t="str">
        <f>'CL - IFA v6 Smart - AQ'!D90</f>
        <v>AQ-Smart 13.01</v>
      </c>
      <c r="B86" s="25" t="str">
        <f>'CL - IFA v6 Smart - AQ'!I90</f>
        <v>Major Must</v>
      </c>
      <c r="C86" s="25" t="str">
        <f>IF('CL - IFA v6 Smart - AQ'!M90 = 0,"",'CL - IFA v6 Smart - AQ'!M90)</f>
        <v>not answered/error</v>
      </c>
      <c r="D86" s="25" t="str">
        <f>IF('CL - IFA v6 Smart - AQ'!Q90 = 0, "",'CL - IFA v6 Smart - AQ'!Q90)</f>
        <v>All product is originating from certified production process.///// - On-site verification has been conducted for Segregation and Product Identification for the Product XXXXX, with Lot/Batch Number XXXXX, throughout operational activities and in accordance with the product flow</v>
      </c>
      <c r="E86" s="26" t="str">
        <f>IF('CL - IFA v6 Smart - AQ'!R90 = 0,"",'CL - IFA v6 Smart - AQ'!R90)</f>
        <v/>
      </c>
      <c r="F86" s="1"/>
      <c r="G86" s="1"/>
      <c r="H86" s="25" t="str">
        <f>IF('Audit Result'!C86 = "No", IF('Audit Result'!G86 = "x", "Closed", "Open"), "")</f>
        <v/>
      </c>
      <c r="I86" s="1"/>
      <c r="J86" s="1"/>
      <c r="K86" s="1"/>
    </row>
    <row r="87" spans="1:11" ht="259.2" x14ac:dyDescent="0.3">
      <c r="A87" s="25" t="str">
        <f>'CL - IFA v6 Smart - AQ'!D91</f>
        <v>AQ-Smart 13.02</v>
      </c>
      <c r="B87" s="25" t="str">
        <f>'CL - IFA v6 Smart - AQ'!I91</f>
        <v>Major Must</v>
      </c>
      <c r="C87" s="25" t="str">
        <f>IF('CL - IFA v6 Smart - AQ'!M91 = 0,"",'CL - IFA v6 Smart - AQ'!M91)</f>
        <v>not answered/error</v>
      </c>
      <c r="D87" s="25" t="str">
        <f>IF('CL - IFA v6 Smart - AQ'!Q91 = 0, "",'CL - IFA v6 Smart - AQ'!Q91)</f>
        <v>All product is originating from certified production process. ////// -- Not All All product is originating form certified production process.On the site,  a sample of final product of XXXXXX labeled with a GGN XXXXXX  ; LOT/Batch : XXXXX  has been carefully selected and trace it back to its origin to confirm the certification status.
If Option 2 (producer group member/certificate holder/both), GGN used for identification:</v>
      </c>
      <c r="E87" s="26" t="str">
        <f>IF('CL - IFA v6 Smart - AQ'!R91 = 0,"",'CL - IFA v6 Smart - AQ'!R91)</f>
        <v/>
      </c>
      <c r="F87" s="1"/>
      <c r="G87" s="1"/>
      <c r="H87" s="25" t="str">
        <f>IF('Audit Result'!C87 = "No", IF('Audit Result'!G87 = "x", "Closed", "Open"), "")</f>
        <v/>
      </c>
      <c r="I87" s="1"/>
      <c r="J87" s="1"/>
      <c r="K87" s="1"/>
    </row>
    <row r="88" spans="1:11" ht="115.2" x14ac:dyDescent="0.3">
      <c r="A88" s="25" t="str">
        <f>'CL - IFA v6 Smart - AQ'!D92</f>
        <v>AQ-Smart 13.03</v>
      </c>
      <c r="B88" s="25" t="str">
        <f>'CL - IFA v6 Smart - AQ'!I92</f>
        <v>Major Must</v>
      </c>
      <c r="C88" s="25" t="str">
        <f>IF('CL - IFA v6 Smart - AQ'!M92 = 0,"",'CL - IFA v6 Smart - AQ'!M92)</f>
        <v>not answered/error</v>
      </c>
      <c r="D88" s="25" t="str">
        <f>IF('CL - IFA v6 Smart - AQ'!Q92 = 0, "",'CL - IFA v6 Smart - AQ'!Q92)</f>
        <v>All product is originating from certified production process. ///Not All All product is originating form certified production process.  Check records XXX.  and/or Interview person responsible for final check name: XXXXX</v>
      </c>
      <c r="E88" s="26" t="str">
        <f>IF('CL - IFA v6 Smart - AQ'!R92 = 0,"",'CL - IFA v6 Smart - AQ'!R92)</f>
        <v/>
      </c>
      <c r="F88" s="1"/>
      <c r="G88" s="1"/>
      <c r="H88" s="25" t="str">
        <f>IF('Audit Result'!C88 = "No", IF('Audit Result'!G88 = "x", "Closed", "Open"), "")</f>
        <v/>
      </c>
      <c r="I88" s="1"/>
      <c r="J88" s="1"/>
      <c r="K88" s="1"/>
    </row>
    <row r="89" spans="1:11" ht="409.6" x14ac:dyDescent="0.3">
      <c r="A89" s="25" t="str">
        <f>'CL - IFA v6 Smart - AQ'!D93</f>
        <v>AQ-Smart 13.04</v>
      </c>
      <c r="B89" s="25" t="str">
        <f>'CL - IFA v6 Smart - AQ'!I93</f>
        <v>Major Must</v>
      </c>
      <c r="C89" s="25" t="str">
        <f>IF('CL - IFA v6 Smart - AQ'!M93 = 0,"",'CL - IFA v6 Smart - AQ'!M93)</f>
        <v>not answered/error</v>
      </c>
      <c r="D89" s="25" t="str">
        <f>IF('CL - IFA v6 Smart - AQ'!Q93 = 0, "",'CL - IFA v6 Smart - AQ'!Q93)</f>
        <v>All product is originating form certified production process. /// Not All All product is originating form certified production process. It is take undercontrol by the Procedure XXX dated DD/MM/YY.Conducted a visual inspection to ensure that all incoming and stored products are appropriately identified, in accordance with the established procedure
Name of purchased product:XXX
batch:XXX
date checked:XXX
GLOBALG.A.P. certification status: XXX
Quantities of product(s) purchased:XXX
Supplier details:XXX
Copy of the GLOBALG.A.P. certificates:XXX
Traceability data/codes related to the purchased products:XXX
Purchase orders and/or invoices received:
List of approved suppliers: XXX</v>
      </c>
      <c r="E89" s="26" t="str">
        <f>IF('CL - IFA v6 Smart - AQ'!R93 = 0,"",'CL - IFA v6 Smart - AQ'!R93)</f>
        <v/>
      </c>
      <c r="F89" s="1"/>
      <c r="G89" s="1"/>
      <c r="H89" s="25" t="str">
        <f>IF('Audit Result'!C89 = "No", IF('Audit Result'!G89 = "x", "Closed", "Open"), "")</f>
        <v/>
      </c>
      <c r="I89" s="1"/>
      <c r="J89" s="1"/>
      <c r="K89" s="1"/>
    </row>
    <row r="90" spans="1:11" ht="172.8" x14ac:dyDescent="0.3">
      <c r="A90" s="25" t="str">
        <f>'CL - IFA v6 Smart - AQ'!D94</f>
        <v>AQ-Smart 13.05</v>
      </c>
      <c r="B90" s="25" t="str">
        <f>'CL - IFA v6 Smart - AQ'!I94</f>
        <v>Major Must</v>
      </c>
      <c r="C90" s="25" t="str">
        <f>IF('CL - IFA v6 Smart - AQ'!M94 = 0,"",'CL - IFA v6 Smart - AQ'!M94)</f>
        <v>not answered/error</v>
      </c>
      <c r="D90" s="25" t="str">
        <f>IF('CL - IFA v6 Smart - AQ'!Q94 = 0, "",'CL - IFA v6 Smart - AQ'!Q94)</f>
        <v xml:space="preserve">Document identification 
name:
code:
revision: 
date:
Name of purchased product:XXX
batch:XXX
date checked:XXX
</v>
      </c>
      <c r="E90" s="26" t="str">
        <f>IF('CL - IFA v6 Smart - AQ'!R94 = 0,"",'CL - IFA v6 Smart - AQ'!R94)</f>
        <v/>
      </c>
      <c r="F90" s="1"/>
      <c r="G90" s="1"/>
      <c r="H90" s="25" t="str">
        <f>IF('Audit Result'!C90 = "No", IF('Audit Result'!G90 = "x", "Closed", "Open"), "")</f>
        <v/>
      </c>
      <c r="I90" s="1"/>
      <c r="J90" s="1"/>
      <c r="K90" s="1"/>
    </row>
    <row r="91" spans="1:11" ht="201.6" x14ac:dyDescent="0.3">
      <c r="A91" s="25" t="str">
        <f>'CL - IFA v6 Smart - AQ'!D95</f>
        <v>AQ-Smart 14.01</v>
      </c>
      <c r="B91" s="25" t="str">
        <f>'CL - IFA v6 Smart - AQ'!I95</f>
        <v>Major Must</v>
      </c>
      <c r="C91" s="25" t="str">
        <f>IF('CL - IFA v6 Smart - AQ'!M95 = 0,"",'CL - IFA v6 Smart - AQ'!M95)</f>
        <v>not answered/error</v>
      </c>
      <c r="D91" s="25" t="str">
        <f>IF('CL - IFA v6 Smart - AQ'!Q95 = 0, "",'CL - IFA v6 Smart - AQ'!Q95)</f>
        <v xml:space="preserve">Record one example each for all  registered products.
Name of product, batch/date checked
Product  Name #1: XXXX - Sales Record - Batch/DT Number XXXX - 
Product #2: XXXX - Sales Record - Batch/DT Number XXXX - Product #3: XXXX - Sales Record -Batch/ DT Number XXXX - .
</v>
      </c>
      <c r="E91" s="26" t="str">
        <f>IF('CL - IFA v6 Smart - AQ'!R95 = 0,"",'CL - IFA v6 Smart - AQ'!R95)</f>
        <v/>
      </c>
      <c r="F91" s="1"/>
      <c r="G91" s="1"/>
      <c r="H91" s="25" t="str">
        <f>IF('Audit Result'!C91 = "No", IF('Audit Result'!G91 = "x", "Closed", "Open"), "")</f>
        <v/>
      </c>
      <c r="I91" s="1"/>
      <c r="J91" s="1"/>
      <c r="K91" s="1"/>
    </row>
    <row r="92" spans="1:11" ht="409.6" x14ac:dyDescent="0.3">
      <c r="A92" s="25" t="str">
        <f>'CL - IFA v6 Smart - AQ'!D96</f>
        <v>AQ-Smart 14.02</v>
      </c>
      <c r="B92" s="25" t="str">
        <f>'CL - IFA v6 Smart - AQ'!I96</f>
        <v>Major Must</v>
      </c>
      <c r="C92" s="25" t="str">
        <f>IF('CL - IFA v6 Smart - AQ'!M96 = 0,"",'CL - IFA v6 Smart - AQ'!M96)</f>
        <v>not answered/error</v>
      </c>
      <c r="D92" s="25" t="str">
        <f>IF('CL - IFA v6 Smart - AQ'!Q96 = 0, "",'CL - IFA v6 Smart - AQ'!Q96)</f>
        <v xml:space="preserve">Name of product (the mass balance exercise verified is per species specific): 
Record for at least one product, prioritizing main products and/or products under parallel ownership.
Frequency of the mass balance calculation: XXXX.
Name of product #1 : XXXX;  - [product originating from certified production process] Quantity input: xxxxx; Quantity output: xxxx, unexplained loss: xxxxx; escape:xxxx, mortality:xxxxx, culling: xxxx, storage of product originating from certified production process; error deltax:xxxx; reson for the delta:xxxx
(if applcable) product originating from NONcertified production process]:  Quantity input: xxxxx; Quantity output: xxxx, unexplained loss: xxxxx; escape:xxxx, mortality:xxxxx, culling: xxxx, storage of product  originating from NONcertified production process;error deltax:xxxx; reson for the delta:xxxx
Name of product #2 : XXXX;  - [product originating from certified production process] Quantity input: xxxxx; Quantity output: xxxx, unexplained loss: xxxxx; escape:xxxx, mortality:xxxxx, culling: xxxx, storage of product originating from certified production process; error deltax:xxxx; reson for the delta:xxxx
(if applcable) product originating from NONcertified production process]:  Quantity input: xxxxx; Quantity output: xxxx, unexplained loss: xxxxx; escape:xxxx, mortality:xxxxx, culling: xxxx, storage of product  originating from NONcertified production process;error deltax:xxxx; reson for the delta:xxxx
Name of product #3 : XXXX;  - [product originating from certified production process] Quantity input: xxxxx; Quantity output: xxxx, unexplained loss: xxxxx; escape:xxxx, mortality:xxxxx, culling: xxxx, storage of product originating from certified production process; error deltax:xxxx; reson for the delta:xxxx
(if applcable) product originating from NONcertified production process]:  Quantity input: xxxxx; Quantity output: xxxx, unexplained loss: xxxxx; escape:xxxx, mortality:xxxxx, culling: xxxx, storage of product  originating from NONcertified production process;error deltax:xxxx; reson for the delta:xxxx
</v>
      </c>
      <c r="E92" s="26" t="str">
        <f>IF('CL - IFA v6 Smart - AQ'!R96 = 0,"",'CL - IFA v6 Smart - AQ'!R96)</f>
        <v/>
      </c>
      <c r="F92" s="1"/>
      <c r="G92" s="1"/>
      <c r="H92" s="25" t="str">
        <f>IF('Audit Result'!C92 = "No", IF('Audit Result'!G92 = "x", "Closed", "Open"), "")</f>
        <v/>
      </c>
      <c r="I92" s="1"/>
      <c r="J92" s="1"/>
      <c r="K92" s="1"/>
    </row>
    <row r="93" spans="1:11" ht="43.2" x14ac:dyDescent="0.3">
      <c r="A93" s="25" t="str">
        <f>'CL - IFA v6 Smart - AQ'!D97</f>
        <v>AQ-Smart 15.01</v>
      </c>
      <c r="B93" s="25" t="str">
        <f>'CL - IFA v6 Smart - AQ'!I97</f>
        <v>Major Must</v>
      </c>
      <c r="C93" s="25" t="str">
        <f>IF('CL - IFA v6 Smart - AQ'!M97 = 0,"",'CL - IFA v6 Smart - AQ'!M97)</f>
        <v>not answered/error</v>
      </c>
      <c r="D93" s="25" t="str">
        <f>IF('CL - IFA v6 Smart - AQ'!Q97 = 0, "",'CL - IFA v6 Smart - AQ'!Q97)</f>
        <v>Date that the food safety policy declaration was signed:</v>
      </c>
      <c r="E93" s="26" t="str">
        <f>IF('CL - IFA v6 Smart - AQ'!R97 = 0,"",'CL - IFA v6 Smart - AQ'!R97)</f>
        <v/>
      </c>
      <c r="F93" s="1"/>
      <c r="G93" s="1"/>
      <c r="H93" s="25" t="str">
        <f>IF('Audit Result'!C93 = "No", IF('Audit Result'!G93 = "x", "Closed", "Open"), "")</f>
        <v/>
      </c>
      <c r="I93" s="1"/>
      <c r="J93" s="1"/>
      <c r="K93" s="1"/>
    </row>
    <row r="94" spans="1:11" ht="72" x14ac:dyDescent="0.3">
      <c r="A94" s="25" t="str">
        <f>'CL - IFA v6 Smart - AQ'!D98</f>
        <v>AQ-Smart 16.01</v>
      </c>
      <c r="B94" s="25" t="str">
        <f>'CL - IFA v6 Smart - AQ'!I98</f>
        <v>Major Must</v>
      </c>
      <c r="C94" s="25" t="str">
        <f>IF('CL - IFA v6 Smart - AQ'!M98 = 0,"",'CL - IFA v6 Smart - AQ'!M98)</f>
        <v>not answered/error</v>
      </c>
      <c r="D94" s="25" t="str">
        <f>IF('CL - IFA v6 Smart - AQ'!Q98 = 0, "",'CL - IFA v6 Smart - AQ'!Q98)</f>
        <v>Document identification 
name:
code:
revision: 
date:</v>
      </c>
      <c r="E94" s="26" t="str">
        <f>IF('CL - IFA v6 Smart - AQ'!R98 = 0,"",'CL - IFA v6 Smart - AQ'!R98)</f>
        <v/>
      </c>
      <c r="F94" s="1"/>
      <c r="G94" s="1"/>
      <c r="H94" s="25" t="str">
        <f>IF('Audit Result'!C94 = "No", IF('Audit Result'!G94 = "x", "Closed", "Open"), "")</f>
        <v/>
      </c>
      <c r="I94" s="1"/>
      <c r="J94" s="1"/>
      <c r="K94" s="1"/>
    </row>
    <row r="95" spans="1:11" ht="86.4" x14ac:dyDescent="0.3">
      <c r="A95" s="25" t="str">
        <f>'CL - IFA v6 Smart - AQ'!D99</f>
        <v>AQ-Smart 16.02</v>
      </c>
      <c r="B95" s="25" t="str">
        <f>'CL - IFA v6 Smart - AQ'!I99</f>
        <v>Major Must</v>
      </c>
      <c r="C95" s="25" t="str">
        <f>IF('CL - IFA v6 Smart - AQ'!M99 = 0,"",'CL - IFA v6 Smart - AQ'!M99)</f>
        <v>not answered/error</v>
      </c>
      <c r="D95" s="25" t="str">
        <f>IF('CL - IFA v6 Smart - AQ'!Q99 = 0, "",'CL - IFA v6 Smart - AQ'!Q99)</f>
        <v xml:space="preserve">Document identification of the plan: 
name:
code:
revision: 
date: </v>
      </c>
      <c r="E95" s="26" t="str">
        <f>IF('CL - IFA v6 Smart - AQ'!R99 = 0,"",'CL - IFA v6 Smart - AQ'!R99)</f>
        <v/>
      </c>
      <c r="F95" s="1"/>
      <c r="G95" s="1"/>
      <c r="H95" s="25" t="str">
        <f>IF('Audit Result'!C95 = "No", IF('Audit Result'!G95 = "x", "Closed", "Open"), "")</f>
        <v/>
      </c>
      <c r="I95" s="1"/>
      <c r="J95" s="1"/>
      <c r="K95" s="1"/>
    </row>
    <row r="96" spans="1:11" ht="72" x14ac:dyDescent="0.3">
      <c r="A96" s="25" t="str">
        <f>'CL - IFA v6 Smart - AQ'!D100</f>
        <v>AQ-Smart 17.01</v>
      </c>
      <c r="B96" s="25" t="str">
        <f>'CL - IFA v6 Smart - AQ'!I100</f>
        <v>Major Must</v>
      </c>
      <c r="C96" s="25" t="str">
        <f>IF('CL - IFA v6 Smart - AQ'!M100 = 0,"",'CL - IFA v6 Smart - AQ'!M100)</f>
        <v>not answered/error</v>
      </c>
      <c r="D96" s="25" t="str">
        <f>IF('CL - IFA v6 Smart - AQ'!Q100 = 0, "",'CL - IFA v6 Smart - AQ'!Q100)</f>
        <v>Document identification 
name:
code:
revision: 
date:</v>
      </c>
      <c r="E96" s="26" t="str">
        <f>IF('CL - IFA v6 Smart - AQ'!R100 = 0,"",'CL - IFA v6 Smart - AQ'!R100)</f>
        <v/>
      </c>
      <c r="F96" s="1"/>
      <c r="G96" s="1"/>
      <c r="H96" s="25" t="str">
        <f>IF('Audit Result'!C96 = "No", IF('Audit Result'!G96 = "x", "Closed", "Open"), "")</f>
        <v/>
      </c>
      <c r="I96" s="1"/>
      <c r="J96" s="1"/>
      <c r="K96" s="1"/>
    </row>
    <row r="97" spans="1:11" ht="100.8" x14ac:dyDescent="0.3">
      <c r="A97" s="25" t="str">
        <f>'CL - IFA v6 Smart - AQ'!D101</f>
        <v>AQ-Smart 17.02</v>
      </c>
      <c r="B97" s="25" t="str">
        <f>'CL - IFA v6 Smart - AQ'!I101</f>
        <v>Major Must</v>
      </c>
      <c r="C97" s="25" t="str">
        <f>IF('CL - IFA v6 Smart - AQ'!M101 = 0,"",'CL - IFA v6 Smart - AQ'!M101)</f>
        <v>not answered/error</v>
      </c>
      <c r="D97" s="25" t="str">
        <f>IF('CL - IFA v6 Smart - AQ'!Q101 = 0, "",'CL - IFA v6 Smart - AQ'!Q101)</f>
        <v xml:space="preserve">Document identification of handling non-conforming product procedures:       
name:
code:
revision: 
date:               </v>
      </c>
      <c r="E97" s="26" t="str">
        <f>IF('CL - IFA v6 Smart - AQ'!R101 = 0,"",'CL - IFA v6 Smart - AQ'!R101)</f>
        <v/>
      </c>
      <c r="F97" s="1"/>
      <c r="G97" s="1"/>
      <c r="H97" s="25" t="str">
        <f>IF('Audit Result'!C97 = "No", IF('Audit Result'!G97 = "x", "Closed", "Open"), "")</f>
        <v/>
      </c>
      <c r="I97" s="1"/>
      <c r="J97" s="1"/>
      <c r="K97" s="1"/>
    </row>
    <row r="98" spans="1:11" ht="115.2" x14ac:dyDescent="0.3">
      <c r="A98" s="25" t="str">
        <f>'CL - IFA v6 Smart - AQ'!D102</f>
        <v>AQ-Smart 17.03</v>
      </c>
      <c r="B98" s="25" t="str">
        <f>'CL - IFA v6 Smart - AQ'!I102</f>
        <v>Major Must</v>
      </c>
      <c r="C98" s="25" t="str">
        <f>IF('CL - IFA v6 Smart - AQ'!M102 = 0,"",'CL - IFA v6 Smart - AQ'!M102)</f>
        <v>not answered/error</v>
      </c>
      <c r="D98" s="25" t="str">
        <f>IF('CL - IFA v6 Smart - AQ'!Q102 = 0, "",'CL - IFA v6 Smart - AQ'!Q102)</f>
        <v xml:space="preserve">Document identification of harvesting instructions: 
name:
code:
revision: 
date:  
   </v>
      </c>
      <c r="E98" s="26" t="str">
        <f>IF('CL - IFA v6 Smart - AQ'!R102 = 0,"",'CL - IFA v6 Smart - AQ'!R102)</f>
        <v/>
      </c>
      <c r="F98" s="1"/>
      <c r="G98" s="1"/>
      <c r="H98" s="25" t="str">
        <f>IF('Audit Result'!C98 = "No", IF('Audit Result'!G98 = "x", "Closed", "Open"), "")</f>
        <v/>
      </c>
      <c r="I98" s="1"/>
      <c r="J98" s="1"/>
      <c r="K98" s="1"/>
    </row>
    <row r="99" spans="1:11" ht="158.4" x14ac:dyDescent="0.3">
      <c r="A99" s="25" t="str">
        <f>'CL - IFA v6 Smart - AQ'!D103</f>
        <v>AQ-Smart 18.01.01</v>
      </c>
      <c r="B99" s="25" t="str">
        <f>'CL - IFA v6 Smart - AQ'!I103</f>
        <v>Major Must</v>
      </c>
      <c r="C99" s="25" t="str">
        <f>IF('CL - IFA v6 Smart - AQ'!M103 = 0,"",'CL - IFA v6 Smart - AQ'!M103)</f>
        <v>not answered/error</v>
      </c>
      <c r="D99" s="25" t="str">
        <f>IF('CL - IFA v6 Smart - AQ'!Q103 = 0, "",'CL - IFA v6 Smart - AQ'!Q103)</f>
        <v>Confirmation of the broodstock origin:xxxxx
If wild caught broodstock, document identification  of the documented management plan:
name:
code:
revision: 
date:</v>
      </c>
      <c r="E99" s="26" t="str">
        <f>IF('CL - IFA v6 Smart - AQ'!R103 = 0,"",'CL - IFA v6 Smart - AQ'!R103)</f>
        <v/>
      </c>
      <c r="F99" s="1"/>
      <c r="G99" s="1"/>
      <c r="H99" s="25" t="str">
        <f>IF('Audit Result'!C99 = "No", IF('Audit Result'!G99 = "x", "Closed", "Open"), "")</f>
        <v/>
      </c>
      <c r="I99" s="1"/>
      <c r="J99" s="1"/>
      <c r="K99" s="1"/>
    </row>
    <row r="100" spans="1:11" ht="144" x14ac:dyDescent="0.3">
      <c r="A100" s="25" t="str">
        <f>'CL - IFA v6 Smart - AQ'!D104</f>
        <v>AQ-Smart 18.01.02</v>
      </c>
      <c r="B100" s="25" t="str">
        <f>'CL - IFA v6 Smart - AQ'!I104</f>
        <v>Major Must</v>
      </c>
      <c r="C100" s="25" t="str">
        <f>IF('CL - IFA v6 Smart - AQ'!M104 = 0,"",'CL - IFA v6 Smart - AQ'!M104)</f>
        <v>not answered/error</v>
      </c>
      <c r="D100" s="25" t="str">
        <f>IF('CL - IFA v6 Smart - AQ'!Q104 = 0, "",'CL - IFA v6 Smart - AQ'!Q104)</f>
        <v>If brood stock is used as human food, document identification of risk assessment to confirm safety to enter the human food chain:
name:
code:
revision: 
date:</v>
      </c>
      <c r="E100" s="26" t="str">
        <f>IF('CL - IFA v6 Smart - AQ'!R104 = 0,"",'CL - IFA v6 Smart - AQ'!R104)</f>
        <v/>
      </c>
      <c r="F100" s="1"/>
      <c r="G100" s="1"/>
      <c r="H100" s="25" t="str">
        <f>IF('Audit Result'!C100 = "No", IF('Audit Result'!G100 = "x", "Closed", "Open"), "")</f>
        <v/>
      </c>
      <c r="I100" s="1"/>
      <c r="J100" s="1"/>
      <c r="K100" s="1"/>
    </row>
    <row r="101" spans="1:11" ht="100.8" x14ac:dyDescent="0.3">
      <c r="A101" s="25" t="str">
        <f>'CL - IFA v6 Smart - AQ'!D105</f>
        <v>AQ-Smart 18.01.03</v>
      </c>
      <c r="B101" s="25" t="str">
        <f>'CL - IFA v6 Smart - AQ'!I105</f>
        <v>Major Must</v>
      </c>
      <c r="C101" s="25" t="str">
        <f>IF('CL - IFA v6 Smart - AQ'!M105 = 0,"",'CL - IFA v6 Smart - AQ'!M105)</f>
        <v>not answered/error</v>
      </c>
      <c r="D101" s="25" t="str">
        <f>IF('CL - IFA v6 Smart - AQ'!Q105 = 0, "",'CL - IFA v6 Smart - AQ'!Q105)</f>
        <v xml:space="preserve">Document identification of traceability of brood stock used:
name:
code:
revision: 
date:  </v>
      </c>
      <c r="E101" s="26" t="str">
        <f>IF('CL - IFA v6 Smart - AQ'!R105 = 0,"",'CL - IFA v6 Smart - AQ'!R105)</f>
        <v/>
      </c>
      <c r="F101" s="1"/>
      <c r="G101" s="1"/>
      <c r="H101" s="25" t="str">
        <f>IF('Audit Result'!C101 = "No", IF('Audit Result'!G101 = "x", "Closed", "Open"), "")</f>
        <v/>
      </c>
      <c r="I101" s="1"/>
      <c r="J101" s="1"/>
      <c r="K101" s="1"/>
    </row>
    <row r="102" spans="1:11" ht="72" x14ac:dyDescent="0.3">
      <c r="A102" s="25" t="str">
        <f>'CL - IFA v6 Smart - AQ'!D106</f>
        <v>AQ-Smart 18.01.04</v>
      </c>
      <c r="B102" s="25" t="str">
        <f>'CL - IFA v6 Smart - AQ'!I106</f>
        <v>Major Must</v>
      </c>
      <c r="C102" s="25" t="str">
        <f>IF('CL - IFA v6 Smart - AQ'!M106 = 0,"",'CL - IFA v6 Smart - AQ'!M106)</f>
        <v>not answered/error</v>
      </c>
      <c r="D102" s="25" t="str">
        <f>IF('CL - IFA v6 Smart - AQ'!Q106 = 0, "",'CL - IFA v6 Smart - AQ'!Q106)</f>
        <v>Confirmation if use or not of invasive marking:     
If invasive marking, anesthetics used is: XXXX</v>
      </c>
      <c r="E102" s="26" t="str">
        <f>IF('CL - IFA v6 Smart - AQ'!R106 = 0,"",'CL - IFA v6 Smart - AQ'!R106)</f>
        <v/>
      </c>
      <c r="F102" s="1"/>
      <c r="G102" s="1"/>
      <c r="H102" s="25" t="str">
        <f>IF('Audit Result'!C102 = "No", IF('Audit Result'!G102 = "x", "Closed", "Open"), "")</f>
        <v/>
      </c>
      <c r="I102" s="1"/>
      <c r="J102" s="1"/>
      <c r="K102" s="1"/>
    </row>
    <row r="103" spans="1:11" ht="86.4" x14ac:dyDescent="0.3">
      <c r="A103" s="25" t="str">
        <f>'CL - IFA v6 Smart - AQ'!D107</f>
        <v>AQ-Smart 18.01.05</v>
      </c>
      <c r="B103" s="25" t="str">
        <f>'CL - IFA v6 Smart - AQ'!I107</f>
        <v>Major Must</v>
      </c>
      <c r="C103" s="25" t="str">
        <f>IF('CL - IFA v6 Smart - AQ'!M107 = 0,"",'CL - IFA v6 Smart - AQ'!M107)</f>
        <v>not answered/error</v>
      </c>
      <c r="D103" s="25" t="str">
        <f>IF('CL - IFA v6 Smart - AQ'!Q107 = 0, "",'CL - IFA v6 Smart - AQ'!Q107)</f>
        <v xml:space="preserve">Parallel ownership: yes/no?
Traceability records verified 
name of product
batch:
date checked: 
</v>
      </c>
      <c r="E103" s="26" t="str">
        <f>IF('CL - IFA v6 Smart - AQ'!R107 = 0,"",'CL - IFA v6 Smart - AQ'!R107)</f>
        <v/>
      </c>
      <c r="F103" s="1"/>
      <c r="G103" s="1"/>
      <c r="H103" s="25" t="str">
        <f>IF('Audit Result'!C103 = "No", IF('Audit Result'!G103 = "x", "Closed", "Open"), "")</f>
        <v/>
      </c>
      <c r="I103" s="1"/>
      <c r="J103" s="1"/>
      <c r="K103" s="1"/>
    </row>
    <row r="104" spans="1:11" ht="43.2" x14ac:dyDescent="0.3">
      <c r="A104" s="25" t="str">
        <f>'CL - IFA v6 Smart - AQ'!D108</f>
        <v>AQ-Smart 18.02.01</v>
      </c>
      <c r="B104" s="25" t="str">
        <f>'CL - IFA v6 Smart - AQ'!I108</f>
        <v>Minor Must</v>
      </c>
      <c r="C104" s="25" t="str">
        <f>IF('CL - IFA v6 Smart - AQ'!M108 = 0,"",'CL - IFA v6 Smart - AQ'!M108)</f>
        <v>not answered/error</v>
      </c>
      <c r="D104" s="25" t="str">
        <f>IF('CL - IFA v6 Smart - AQ'!Q108 = 0, "",'CL - IFA v6 Smart - AQ'!Q108)</f>
        <v xml:space="preserve">name of product
batch:
date checked: </v>
      </c>
      <c r="E104" s="26" t="str">
        <f>IF('CL - IFA v6 Smart - AQ'!R108 = 0,"",'CL - IFA v6 Smart - AQ'!R108)</f>
        <v/>
      </c>
      <c r="F104" s="1"/>
      <c r="G104" s="1"/>
      <c r="H104" s="25" t="str">
        <f>IF('Audit Result'!C104 = "No", IF('Audit Result'!G104 = "x", "Closed", "Open"), "")</f>
        <v/>
      </c>
      <c r="I104" s="1"/>
      <c r="J104" s="1"/>
      <c r="K104" s="1"/>
    </row>
    <row r="105" spans="1:11" ht="115.2" x14ac:dyDescent="0.3">
      <c r="A105" s="25" t="str">
        <f>'CL - IFA v6 Smart - AQ'!D109</f>
        <v>AQ-Smart 18.02.02</v>
      </c>
      <c r="B105" s="25" t="str">
        <f>'CL - IFA v6 Smart - AQ'!I109</f>
        <v>Major Must</v>
      </c>
      <c r="C105" s="25" t="str">
        <f>IF('CL - IFA v6 Smart - AQ'!M109 = 0,"",'CL - IFA v6 Smart - AQ'!M109)</f>
        <v>not answered/error</v>
      </c>
      <c r="D105" s="25" t="str">
        <f>IF('CL - IFA v6 Smart - AQ'!Q109 = 0, "",'CL - IFA v6 Smart - AQ'!Q109)</f>
        <v xml:space="preserve">Hatchery activities verified to be included in AQ 20.08.01, AQ 20.08.04 and AQ 20.02.01.
Visual inspection on biosecurity procedures in place. </v>
      </c>
      <c r="E105" s="26" t="str">
        <f>IF('CL - IFA v6 Smart - AQ'!R109 = 0,"",'CL - IFA v6 Smart - AQ'!R109)</f>
        <v/>
      </c>
      <c r="F105" s="1"/>
      <c r="G105" s="1"/>
      <c r="H105" s="25" t="str">
        <f>IF('Audit Result'!C105 = "No", IF('Audit Result'!G105 = "x", "Closed", "Open"), "")</f>
        <v/>
      </c>
      <c r="I105" s="1"/>
      <c r="J105" s="1"/>
      <c r="K105" s="1"/>
    </row>
    <row r="106" spans="1:11" ht="100.8" x14ac:dyDescent="0.3">
      <c r="A106" s="25" t="str">
        <f>'CL - IFA v6 Smart - AQ'!D110</f>
        <v>AQ-Smart 18.03.01</v>
      </c>
      <c r="B106" s="25" t="str">
        <f>'CL - IFA v6 Smart - AQ'!I110</f>
        <v>Major Must</v>
      </c>
      <c r="C106" s="25" t="str">
        <f>IF('CL - IFA v6 Smart - AQ'!M110 = 0,"",'CL - IFA v6 Smart - AQ'!M110)</f>
        <v>not answered/error</v>
      </c>
      <c r="D106" s="25" t="str">
        <f>IF('CL - IFA v6 Smart - AQ'!Q110 = 0, "",'CL - IFA v6 Smart - AQ'!Q110)</f>
        <v xml:space="preserve">Document identification of stripping and sperm collection instructions:
name:
code:
revision: 
date: </v>
      </c>
      <c r="E106" s="26" t="str">
        <f>IF('CL - IFA v6 Smart - AQ'!R110 = 0,"",'CL - IFA v6 Smart - AQ'!R110)</f>
        <v/>
      </c>
      <c r="F106" s="1"/>
      <c r="G106" s="1"/>
      <c r="H106" s="25" t="str">
        <f>IF('Audit Result'!C106 = "No", IF('Audit Result'!G106 = "x", "Closed", "Open"), "")</f>
        <v/>
      </c>
      <c r="I106" s="1"/>
      <c r="J106" s="1"/>
      <c r="K106" s="1"/>
    </row>
    <row r="107" spans="1:11" ht="86.4" x14ac:dyDescent="0.3">
      <c r="A107" s="25" t="str">
        <f>'CL - IFA v6 Smart - AQ'!D111</f>
        <v>AQ-Smart 18.03.02</v>
      </c>
      <c r="B107" s="25" t="str">
        <f>'CL - IFA v6 Smart - AQ'!I111</f>
        <v>Major Must</v>
      </c>
      <c r="C107" s="25" t="str">
        <f>IF('CL - IFA v6 Smart - AQ'!M111 = 0,"",'CL - IFA v6 Smart - AQ'!M111)</f>
        <v>not answered/error</v>
      </c>
      <c r="D107" s="25" t="str">
        <f>IF('CL - IFA v6 Smart - AQ'!Q111 = 0, "",'CL - IFA v6 Smart - AQ'!Q111)</f>
        <v xml:space="preserve">Document identification of egg release instructions:
name:
code:
revision: 
date: </v>
      </c>
      <c r="E107" s="26" t="str">
        <f>IF('CL - IFA v6 Smart - AQ'!R111 = 0,"",'CL - IFA v6 Smart - AQ'!R111)</f>
        <v/>
      </c>
      <c r="F107" s="1"/>
      <c r="G107" s="1"/>
      <c r="H107" s="25" t="str">
        <f>IF('Audit Result'!C107 = "No", IF('Audit Result'!G107 = "x", "Closed", "Open"), "")</f>
        <v/>
      </c>
      <c r="I107" s="1"/>
      <c r="J107" s="1"/>
      <c r="K107" s="1"/>
    </row>
    <row r="108" spans="1:11" ht="129.6" x14ac:dyDescent="0.3">
      <c r="A108" s="25" t="str">
        <f>'CL - IFA v6 Smart - AQ'!D112</f>
        <v>AQ-Smart 19.01.01</v>
      </c>
      <c r="B108" s="25" t="str">
        <f>'CL - IFA v6 Smart - AQ'!I112</f>
        <v>Major Must</v>
      </c>
      <c r="C108" s="25" t="str">
        <f>IF('CL - IFA v6 Smart - AQ'!M112 = 0,"",'CL - IFA v6 Smart - AQ'!M112)</f>
        <v>not answered/error</v>
      </c>
      <c r="D108" s="25" t="str">
        <f>IF('CL - IFA v6 Smart - AQ'!Q112 = 0, "",'CL - IFA v6 Smart - AQ'!Q112)</f>
        <v xml:space="preserve">Document identification  of up-to-date record of the inventory including records of movements (use and supply):
name:
code:
revision: 
date: </v>
      </c>
      <c r="E108" s="26" t="str">
        <f>IF('CL - IFA v6 Smart - AQ'!R112 = 0,"",'CL - IFA v6 Smart - AQ'!R112)</f>
        <v/>
      </c>
      <c r="F108" s="1"/>
      <c r="G108" s="1"/>
      <c r="H108" s="25" t="str">
        <f>IF('Audit Result'!C108 = "No", IF('Audit Result'!G108 = "x", "Closed", "Open"), "")</f>
        <v/>
      </c>
      <c r="I108" s="1"/>
      <c r="J108" s="1"/>
      <c r="K108" s="1"/>
    </row>
    <row r="109" spans="1:11" ht="86.4" x14ac:dyDescent="0.3">
      <c r="A109" s="25" t="str">
        <f>'CL - IFA v6 Smart - AQ'!D113</f>
        <v>AQ-Smart 19.01.02</v>
      </c>
      <c r="B109" s="25" t="str">
        <f>'CL - IFA v6 Smart - AQ'!I113</f>
        <v>Major Must</v>
      </c>
      <c r="C109" s="25" t="str">
        <f>IF('CL - IFA v6 Smart - AQ'!M113 = 0,"",'CL - IFA v6 Smart - AQ'!M113)</f>
        <v>not answered/error</v>
      </c>
      <c r="D109" s="25" t="str">
        <f>IF('CL - IFA v6 Smart - AQ'!Q113 = 0, "",'CL - IFA v6 Smart - AQ'!Q113)</f>
        <v xml:space="preserve">
Commercial names:
active ingredients:
TDSs date/rev:
SDSs date/rev:
</v>
      </c>
      <c r="E109" s="26" t="str">
        <f>IF('CL - IFA v6 Smart - AQ'!R113 = 0,"",'CL - IFA v6 Smart - AQ'!R113)</f>
        <v/>
      </c>
      <c r="F109" s="1"/>
      <c r="G109" s="1"/>
      <c r="H109" s="25" t="str">
        <f>IF('Audit Result'!C109 = "No", IF('Audit Result'!G109 = "x", "Closed", "Open"), "")</f>
        <v/>
      </c>
      <c r="I109" s="1"/>
      <c r="J109" s="1"/>
      <c r="K109" s="1"/>
    </row>
    <row r="110" spans="1:11" ht="43.2" x14ac:dyDescent="0.3">
      <c r="A110" s="25" t="str">
        <f>'CL - IFA v6 Smart - AQ'!D114</f>
        <v>AQ-Smart 19.01.03</v>
      </c>
      <c r="B110" s="25" t="str">
        <f>'CL - IFA v6 Smart - AQ'!I114</f>
        <v>Major Must</v>
      </c>
      <c r="C110" s="25" t="str">
        <f>IF('CL - IFA v6 Smart - AQ'!M114 = 0,"",'CL - IFA v6 Smart - AQ'!M114)</f>
        <v>not answered/error</v>
      </c>
      <c r="D110" s="25" t="str">
        <f>IF('CL - IFA v6 Smart - AQ'!Q114 = 0, "",'CL - IFA v6 Smart - AQ'!Q114)</f>
        <v xml:space="preserve">Verified in compliance through the AHP. 
</v>
      </c>
      <c r="E110" s="26" t="str">
        <f>IF('CL - IFA v6 Smart - AQ'!R114 = 0,"",'CL - IFA v6 Smart - AQ'!R114)</f>
        <v/>
      </c>
      <c r="F110" s="1"/>
      <c r="G110" s="1"/>
      <c r="H110" s="25" t="str">
        <f>IF('Audit Result'!C110 = "No", IF('Audit Result'!G110 = "x", "Closed", "Open"), "")</f>
        <v/>
      </c>
      <c r="I110" s="1"/>
      <c r="J110" s="1"/>
      <c r="K110" s="1"/>
    </row>
    <row r="111" spans="1:11" x14ac:dyDescent="0.3">
      <c r="A111" s="25" t="str">
        <f>'CL - IFA v6 Smart - AQ'!D115</f>
        <v>AQ-Smart 19.01.04</v>
      </c>
      <c r="B111" s="25" t="str">
        <f>'CL - IFA v6 Smart - AQ'!I115</f>
        <v>Major Must</v>
      </c>
      <c r="C111" s="25" t="str">
        <f>IF('CL - IFA v6 Smart - AQ'!M115 = 0,"",'CL - IFA v6 Smart - AQ'!M115)</f>
        <v>not answered/error</v>
      </c>
      <c r="D111" s="25" t="str">
        <f>IF('CL - IFA v6 Smart - AQ'!Q115 = 0, "",'CL - IFA v6 Smart - AQ'!Q115)</f>
        <v/>
      </c>
      <c r="E111" s="26" t="str">
        <f>IF('CL - IFA v6 Smart - AQ'!R115 = 0,"",'CL - IFA v6 Smart - AQ'!R115)</f>
        <v/>
      </c>
      <c r="F111" s="1"/>
      <c r="G111" s="1"/>
      <c r="H111" s="25" t="str">
        <f>IF('Audit Result'!C111 = "No", IF('Audit Result'!G111 = "x", "Closed", "Open"), "")</f>
        <v/>
      </c>
      <c r="I111" s="1"/>
      <c r="J111" s="1"/>
      <c r="K111" s="1"/>
    </row>
    <row r="112" spans="1:11" x14ac:dyDescent="0.3">
      <c r="A112" s="25" t="str">
        <f>'CL - IFA v6 Smart - AQ'!D116</f>
        <v>AQ-Smart 19.01.05</v>
      </c>
      <c r="B112" s="25" t="str">
        <f>'CL - IFA v6 Smart - AQ'!I116</f>
        <v>Major Must</v>
      </c>
      <c r="C112" s="25" t="str">
        <f>IF('CL - IFA v6 Smart - AQ'!M116 = 0,"",'CL - IFA v6 Smart - AQ'!M116)</f>
        <v>not answered/error</v>
      </c>
      <c r="D112" s="25" t="str">
        <f>IF('CL - IFA v6 Smart - AQ'!Q116 = 0, "",'CL - IFA v6 Smart - AQ'!Q116)</f>
        <v/>
      </c>
      <c r="E112" s="26" t="str">
        <f>IF('CL - IFA v6 Smart - AQ'!R116 = 0,"",'CL - IFA v6 Smart - AQ'!R116)</f>
        <v/>
      </c>
      <c r="F112" s="1"/>
      <c r="G112" s="1"/>
      <c r="H112" s="25" t="str">
        <f>IF('Audit Result'!C112 = "No", IF('Audit Result'!G112 = "x", "Closed", "Open"), "")</f>
        <v/>
      </c>
      <c r="I112" s="1"/>
      <c r="J112" s="1"/>
      <c r="K112" s="1"/>
    </row>
    <row r="113" spans="1:11" x14ac:dyDescent="0.3">
      <c r="A113" s="25" t="str">
        <f>'CL - IFA v6 Smart - AQ'!D117</f>
        <v>AQ-Smart 19.01.06</v>
      </c>
      <c r="B113" s="25" t="str">
        <f>'CL - IFA v6 Smart - AQ'!I117</f>
        <v>Major Must</v>
      </c>
      <c r="C113" s="25" t="str">
        <f>IF('CL - IFA v6 Smart - AQ'!M117 = 0,"",'CL - IFA v6 Smart - AQ'!M117)</f>
        <v>not answered/error</v>
      </c>
      <c r="D113" s="25" t="str">
        <f>IF('CL - IFA v6 Smart - AQ'!Q117 = 0, "",'CL - IFA v6 Smart - AQ'!Q117)</f>
        <v/>
      </c>
      <c r="E113" s="26" t="str">
        <f>IF('CL - IFA v6 Smart - AQ'!R117 = 0,"",'CL - IFA v6 Smart - AQ'!R117)</f>
        <v/>
      </c>
      <c r="F113" s="1"/>
      <c r="G113" s="1"/>
      <c r="H113" s="25" t="str">
        <f>IF('Audit Result'!C113 = "No", IF('Audit Result'!G113 = "x", "Closed", "Open"), "")</f>
        <v/>
      </c>
      <c r="I113" s="1"/>
      <c r="J113" s="1"/>
      <c r="K113" s="1"/>
    </row>
    <row r="114" spans="1:11" x14ac:dyDescent="0.3">
      <c r="A114" s="25" t="str">
        <f>'CL - IFA v6 Smart - AQ'!D118</f>
        <v>AQ-Smart 19.01.07</v>
      </c>
      <c r="B114" s="25" t="str">
        <f>'CL - IFA v6 Smart - AQ'!I118</f>
        <v>Major Must</v>
      </c>
      <c r="C114" s="25" t="str">
        <f>IF('CL - IFA v6 Smart - AQ'!M118 = 0,"",'CL - IFA v6 Smart - AQ'!M118)</f>
        <v>not answered/error</v>
      </c>
      <c r="D114" s="25" t="str">
        <f>IF('CL - IFA v6 Smart - AQ'!Q118 = 0, "",'CL - IFA v6 Smart - AQ'!Q118)</f>
        <v/>
      </c>
      <c r="E114" s="26" t="str">
        <f>IF('CL - IFA v6 Smart - AQ'!R118 = 0,"",'CL - IFA v6 Smart - AQ'!R118)</f>
        <v/>
      </c>
      <c r="F114" s="1"/>
      <c r="G114" s="1"/>
      <c r="H114" s="25" t="str">
        <f>IF('Audit Result'!C114 = "No", IF('Audit Result'!G114 = "x", "Closed", "Open"), "")</f>
        <v/>
      </c>
      <c r="I114" s="1"/>
      <c r="J114" s="1"/>
      <c r="K114" s="1"/>
    </row>
    <row r="115" spans="1:11" ht="72" x14ac:dyDescent="0.3">
      <c r="A115" s="25" t="str">
        <f>'CL - IFA v6 Smart - AQ'!D119</f>
        <v>AQ-Smart 19.01.08</v>
      </c>
      <c r="B115" s="25" t="str">
        <f>'CL - IFA v6 Smart - AQ'!I119</f>
        <v>Major Must</v>
      </c>
      <c r="C115" s="25" t="str">
        <f>IF('CL - IFA v6 Smart - AQ'!M119 = 0,"",'CL - IFA v6 Smart - AQ'!M119)</f>
        <v>not answered/error</v>
      </c>
      <c r="D115" s="25" t="str">
        <f>IF('CL - IFA v6 Smart - AQ'!Q119 = 0, "",'CL - IFA v6 Smart - AQ'!Q119)</f>
        <v xml:space="preserve">Record date of last calibration/verification for the equipment using in the measuring and dosing of all chemical compounds. </v>
      </c>
      <c r="E115" s="26" t="str">
        <f>IF('CL - IFA v6 Smart - AQ'!R119 = 0,"",'CL - IFA v6 Smart - AQ'!R119)</f>
        <v/>
      </c>
      <c r="F115" s="1"/>
      <c r="G115" s="1"/>
      <c r="H115" s="25" t="str">
        <f>IF('Audit Result'!C115 = "No", IF('Audit Result'!G115 = "x", "Closed", "Open"), "")</f>
        <v/>
      </c>
      <c r="I115" s="1"/>
      <c r="J115" s="1"/>
      <c r="K115" s="1"/>
    </row>
    <row r="116" spans="1:11" ht="86.4" x14ac:dyDescent="0.3">
      <c r="A116" s="25" t="str">
        <f>'CL - IFA v6 Smart - AQ'!D120</f>
        <v>AQ-Smart 19.01.09</v>
      </c>
      <c r="B116" s="25" t="str">
        <f>'CL - IFA v6 Smart - AQ'!I120</f>
        <v>Major Must</v>
      </c>
      <c r="C116" s="25" t="str">
        <f>IF('CL - IFA v6 Smart - AQ'!M120 = 0,"",'CL - IFA v6 Smart - AQ'!M120)</f>
        <v>not answered/error</v>
      </c>
      <c r="D116" s="25" t="str">
        <f>IF('CL - IFA v6 Smart - AQ'!Q120 = 0, "",'CL - IFA v6 Smart - AQ'!Q120)</f>
        <v>Brief description of equipment to deal with operator contamination.
Cross checked with AQ 19.01.02</v>
      </c>
      <c r="E116" s="26" t="str">
        <f>IF('CL - IFA v6 Smart - AQ'!R120 = 0,"",'CL - IFA v6 Smart - AQ'!R120)</f>
        <v/>
      </c>
      <c r="F116" s="1"/>
      <c r="G116" s="1"/>
      <c r="H116" s="25" t="str">
        <f>IF('Audit Result'!C116 = "No", IF('Audit Result'!G116 = "x", "Closed", "Open"), "")</f>
        <v/>
      </c>
      <c r="I116" s="1"/>
      <c r="J116" s="1"/>
      <c r="K116" s="1"/>
    </row>
    <row r="117" spans="1:11" ht="115.2" x14ac:dyDescent="0.3">
      <c r="A117" s="25" t="str">
        <f>'CL - IFA v6 Smart - AQ'!D121</f>
        <v>AQ-Smart 19.02.01</v>
      </c>
      <c r="B117" s="25" t="str">
        <f>'CL - IFA v6 Smart - AQ'!I121</f>
        <v>Major Must</v>
      </c>
      <c r="C117" s="25" t="str">
        <f>IF('CL - IFA v6 Smart - AQ'!M121 = 0,"",'CL - IFA v6 Smart - AQ'!M121)</f>
        <v>not answered/error</v>
      </c>
      <c r="D117" s="25" t="str">
        <f>IF('CL - IFA v6 Smart - AQ'!Q121 = 0, "",'CL - IFA v6 Smart - AQ'!Q121)</f>
        <v>Name of the collection system (if exists):
Date of last record of disposal of chemical compound waste.
Subcontractors for disposal of empty chemical containers: yes/no.</v>
      </c>
      <c r="E117" s="26" t="str">
        <f>IF('CL - IFA v6 Smart - AQ'!R121 = 0,"",'CL - IFA v6 Smart - AQ'!R121)</f>
        <v/>
      </c>
      <c r="F117" s="1"/>
      <c r="G117" s="1"/>
      <c r="H117" s="25" t="str">
        <f>IF('Audit Result'!C117 = "No", IF('Audit Result'!G117 = "x", "Closed", "Open"), "")</f>
        <v/>
      </c>
      <c r="I117" s="1"/>
      <c r="J117" s="1"/>
      <c r="K117" s="1"/>
    </row>
    <row r="118" spans="1:11" ht="115.2" x14ac:dyDescent="0.3">
      <c r="A118" s="25" t="str">
        <f>'CL - IFA v6 Smart - AQ'!D122</f>
        <v>AQ-Smart 19.02.02</v>
      </c>
      <c r="B118" s="25" t="str">
        <f>'CL - IFA v6 Smart - AQ'!I122</f>
        <v>Major Must</v>
      </c>
      <c r="C118" s="25" t="str">
        <f>IF('CL - IFA v6 Smart - AQ'!M122 = 0,"",'CL - IFA v6 Smart - AQ'!M122)</f>
        <v>not answered/error</v>
      </c>
      <c r="D118" s="25" t="str">
        <f>IF('CL - IFA v6 Smart - AQ'!Q122 = 0, "",'CL - IFA v6 Smart - AQ'!Q122)</f>
        <v>Name of the collection system (if exists):
Date of last record of disposal of unused chemical compounds.
Subcontractors for disposal of unused chemical compounds: yes/no.</v>
      </c>
      <c r="E118" s="26" t="str">
        <f>IF('CL - IFA v6 Smart - AQ'!R122 = 0,"",'CL - IFA v6 Smart - AQ'!R122)</f>
        <v/>
      </c>
      <c r="F118" s="1"/>
      <c r="G118" s="1"/>
      <c r="H118" s="25" t="str">
        <f>IF('Audit Result'!C118 = "No", IF('Audit Result'!G118 = "x", "Closed", "Open"), "")</f>
        <v/>
      </c>
      <c r="I118" s="1"/>
      <c r="J118" s="1"/>
      <c r="K118" s="1"/>
    </row>
    <row r="119" spans="1:11" x14ac:dyDescent="0.3">
      <c r="A119" s="25" t="str">
        <f>'CL - IFA v6 Smart - AQ'!D123</f>
        <v>AQ-Smart 19.03.01</v>
      </c>
      <c r="B119" s="25" t="str">
        <f>'CL - IFA v6 Smart - AQ'!I123</f>
        <v>Minor Must</v>
      </c>
      <c r="C119" s="25" t="str">
        <f>IF('CL - IFA v6 Smart - AQ'!M123 = 0,"",'CL - IFA v6 Smart - AQ'!M123)</f>
        <v>not answered/error</v>
      </c>
      <c r="D119" s="25" t="str">
        <f>IF('CL - IFA v6 Smart - AQ'!Q123 = 0, "",'CL - IFA v6 Smart - AQ'!Q123)</f>
        <v/>
      </c>
      <c r="E119" s="26" t="str">
        <f>IF('CL - IFA v6 Smart - AQ'!R123 = 0,"",'CL - IFA v6 Smart - AQ'!R123)</f>
        <v/>
      </c>
      <c r="F119" s="1"/>
      <c r="G119" s="1"/>
      <c r="H119" s="25" t="str">
        <f>IF('Audit Result'!C119 = "No", IF('Audit Result'!G119 = "x", "Closed", "Open"), "")</f>
        <v/>
      </c>
      <c r="I119" s="1"/>
      <c r="J119" s="1"/>
      <c r="K119" s="1"/>
    </row>
    <row r="120" spans="1:11" ht="409.6" x14ac:dyDescent="0.3">
      <c r="A120" s="25" t="str">
        <f>'CL - IFA v6 Smart - AQ'!D124</f>
        <v>AQ-Smart 20.01.01</v>
      </c>
      <c r="B120" s="25" t="str">
        <f>'CL - IFA v6 Smart - AQ'!I124</f>
        <v>Major Must</v>
      </c>
      <c r="C120" s="25" t="str">
        <f>IF('CL - IFA v6 Smart - AQ'!M124 = 0,"",'CL - IFA v6 Smart - AQ'!M124)</f>
        <v>not answered/error</v>
      </c>
      <c r="D120" s="25" t="str">
        <f>IF('CL - IFA v6 Smart - AQ'!Q124 = 0, "",'CL - IFA v6 Smart - AQ'!Q124)</f>
        <v>TRACEABILITY PROCEDURE XXXX - Date: DD/MM/YY;
Document identification  of batch traceability example taken at the time of the audit:
Tracing Backward. Product Checked: XXXX; Delivery Date: DD/MM/YY - Lot number in the Label: XXXX; GGN : XXX;  Customer: XXXX; Documet of Trasport: XXXX;  Harvest Date: DD/MM/YY - Lot/Batch Number: XXXX - Traced Back to the TANK/CAGE: XXXX Movements:XXXX
 Sowing date:XXXX; Supplier arrival documentation (e.g., purchase, transport, health certificate, parents, seedling/stock origin) XXXXX; 
Product Handling: The traceability system also encompasses product handling. For instance, if the product undergo post-harvest processing at an on-site facility, the traceability records extend to cover this aspect. EXAMPLE : Date: DD/MM/YY
Verification of Traceability System:
Annual Verification: The Producer conducts an annual verification of its traceability system. Last test: DD/MM/YY- Product : XXXX  and/or   Recall/Withdraw Mock exercise: DD/MM/YY - Product: XXX</v>
      </c>
      <c r="E120" s="26" t="str">
        <f>IF('CL - IFA v6 Smart - AQ'!R124 = 0,"",'CL - IFA v6 Smart - AQ'!R124)</f>
        <v/>
      </c>
      <c r="F120" s="1"/>
      <c r="G120" s="1"/>
      <c r="H120" s="25" t="str">
        <f>IF('Audit Result'!C120 = "No", IF('Audit Result'!G120 = "x", "Closed", "Open"), "")</f>
        <v/>
      </c>
      <c r="I120" s="1"/>
      <c r="J120" s="1"/>
      <c r="K120" s="1"/>
    </row>
    <row r="121" spans="1:11" ht="172.8" x14ac:dyDescent="0.3">
      <c r="A121" s="25" t="str">
        <f>'CL - IFA v6 Smart - AQ'!D125</f>
        <v>AQ-Smart 20.01.02</v>
      </c>
      <c r="B121" s="25" t="str">
        <f>'CL - IFA v6 Smart - AQ'!I125</f>
        <v>Major Must</v>
      </c>
      <c r="C121" s="25" t="str">
        <f>IF('CL - IFA v6 Smart - AQ'!M125 = 0,"",'CL - IFA v6 Smart - AQ'!M125)</f>
        <v>not answered/error</v>
      </c>
      <c r="D121" s="25" t="str">
        <f>IF('CL - IFA v6 Smart - AQ'!Q125 = 0, "",'CL - IFA v6 Smart - AQ'!Q125)</f>
        <v xml:space="preserve">Document identification of movement example taken at the time of the audit:
name:
code:
revision: 
date:
seedling/stock origin:
species:
biomass:
production ID:
</v>
      </c>
      <c r="E121" s="26" t="str">
        <f>IF('CL - IFA v6 Smart - AQ'!R125 = 0,"",'CL - IFA v6 Smart - AQ'!R125)</f>
        <v/>
      </c>
      <c r="F121" s="1"/>
      <c r="G121" s="1"/>
      <c r="H121" s="25" t="str">
        <f>IF('Audit Result'!C121 = "No", IF('Audit Result'!G121 = "x", "Closed", "Open"), "")</f>
        <v/>
      </c>
      <c r="I121" s="1"/>
      <c r="J121" s="1"/>
      <c r="K121" s="1"/>
    </row>
    <row r="122" spans="1:11" ht="43.2" x14ac:dyDescent="0.3">
      <c r="A122" s="25" t="str">
        <f>'CL - IFA v6 Smart - AQ'!D126</f>
        <v>AQ-Smart 20.01.03</v>
      </c>
      <c r="B122" s="25" t="str">
        <f>'CL - IFA v6 Smart - AQ'!I126</f>
        <v>Major Must</v>
      </c>
      <c r="C122" s="25" t="str">
        <f>IF('CL - IFA v6 Smart - AQ'!M126 = 0,"",'CL - IFA v6 Smart - AQ'!M126)</f>
        <v>not answered/error</v>
      </c>
      <c r="D122" s="25" t="str">
        <f>IF('CL - IFA v6 Smart - AQ'!Q126 = 0, "",'CL - IFA v6 Smart - AQ'!Q126)</f>
        <v>Document identification of batch composition example: XXXXX</v>
      </c>
      <c r="E122" s="26" t="str">
        <f>IF('CL - IFA v6 Smart - AQ'!R126 = 0,"",'CL - IFA v6 Smart - AQ'!R126)</f>
        <v/>
      </c>
      <c r="F122" s="1"/>
      <c r="G122" s="1"/>
      <c r="H122" s="25" t="str">
        <f>IF('Audit Result'!C122 = "No", IF('Audit Result'!G122 = "x", "Closed", "Open"), "")</f>
        <v/>
      </c>
      <c r="I122" s="1"/>
      <c r="J122" s="1"/>
      <c r="K122" s="1"/>
    </row>
    <row r="123" spans="1:11" ht="43.2" x14ac:dyDescent="0.3">
      <c r="A123" s="25" t="str">
        <f>'CL - IFA v6 Smart - AQ'!D127</f>
        <v>AQ-Smart 20.01.04</v>
      </c>
      <c r="B123" s="25" t="str">
        <f>'CL - IFA v6 Smart - AQ'!I127</f>
        <v>Recommendation</v>
      </c>
      <c r="C123" s="25" t="str">
        <f>IF('CL - IFA v6 Smart - AQ'!M127 = 0,"",'CL - IFA v6 Smart - AQ'!M127)</f>
        <v>not answered/error</v>
      </c>
      <c r="D123" s="25" t="str">
        <f>IF('CL - IFA v6 Smart - AQ'!Q127 = 0, "",'CL - IFA v6 Smart - AQ'!Q127)</f>
        <v>Brood stock included in the scope of certification: yes/no?</v>
      </c>
      <c r="E123" s="26" t="str">
        <f>IF('CL - IFA v6 Smart - AQ'!R127 = 0,"",'CL - IFA v6 Smart - AQ'!R127)</f>
        <v/>
      </c>
      <c r="F123" s="1"/>
      <c r="G123" s="1"/>
      <c r="H123" s="25" t="str">
        <f>IF('Audit Result'!C123 = "No", IF('Audit Result'!G123 = "x", "Closed", "Open"), "")</f>
        <v/>
      </c>
      <c r="I123" s="1"/>
      <c r="J123" s="1"/>
      <c r="K123" s="1"/>
    </row>
    <row r="124" spans="1:11" ht="187.2" x14ac:dyDescent="0.3">
      <c r="A124" s="25" t="str">
        <f>'CL - IFA v6 Smart - AQ'!D128</f>
        <v>AQ-Smart 20.01.05</v>
      </c>
      <c r="B124" s="25" t="str">
        <f>'CL - IFA v6 Smart - AQ'!I128</f>
        <v>Major Must</v>
      </c>
      <c r="C124" s="25" t="str">
        <f>IF('CL - IFA v6 Smart - AQ'!M128 = 0,"",'CL - IFA v6 Smart - AQ'!M128)</f>
        <v>not answered/error</v>
      </c>
      <c r="D124" s="25" t="str">
        <f>IF('CL - IFA v6 Smart - AQ'!Q128 = 0, "",'CL - IFA v6 Smart - AQ'!Q128)</f>
        <v xml:space="preserve">Initial audit: seedlings certified: yes/no? If yes, corresponding GGNs shall be indicated in the audit report.
Subsequent audits: GGNs shall be indicated in the audit report. 
In both cases above, the CB need to validate the respective GGNs. 
</v>
      </c>
      <c r="E124" s="26" t="str">
        <f>IF('CL - IFA v6 Smart - AQ'!R128 = 0,"",'CL - IFA v6 Smart - AQ'!R128)</f>
        <v/>
      </c>
      <c r="F124" s="1"/>
      <c r="G124" s="1"/>
      <c r="H124" s="25" t="str">
        <f>IF('Audit Result'!C124 = "No", IF('Audit Result'!G124 = "x", "Closed", "Open"), "")</f>
        <v/>
      </c>
      <c r="I124" s="1"/>
      <c r="J124" s="1"/>
      <c r="K124" s="1"/>
    </row>
    <row r="125" spans="1:11" ht="57.6" x14ac:dyDescent="0.3">
      <c r="A125" s="25" t="str">
        <f>'CL - IFA v6 Smart - AQ'!D129</f>
        <v>AQ-Smart 20.01.06</v>
      </c>
      <c r="B125" s="25" t="str">
        <f>'CL - IFA v6 Smart - AQ'!I129</f>
        <v>Major Must</v>
      </c>
      <c r="C125" s="25" t="str">
        <f>IF('CL - IFA v6 Smart - AQ'!M129 = 0,"",'CL - IFA v6 Smart - AQ'!M129)</f>
        <v>not answered/error</v>
      </c>
      <c r="D125" s="25" t="str">
        <f>IF('CL - IFA v6 Smart - AQ'!Q129 = 0, "",'CL - IFA v6 Smart - AQ'!Q129)</f>
        <v>Interview with responsible person shows evidence that movement traceability records are understood.</v>
      </c>
      <c r="E125" s="26" t="str">
        <f>IF('CL - IFA v6 Smart - AQ'!R129 = 0,"",'CL - IFA v6 Smart - AQ'!R129)</f>
        <v/>
      </c>
      <c r="F125" s="1"/>
      <c r="G125" s="1"/>
      <c r="H125" s="25" t="str">
        <f>IF('Audit Result'!C125 = "No", IF('Audit Result'!G125 = "x", "Closed", "Open"), "")</f>
        <v/>
      </c>
      <c r="I125" s="1"/>
      <c r="J125" s="1"/>
      <c r="K125" s="1"/>
    </row>
    <row r="126" spans="1:11" ht="288" x14ac:dyDescent="0.3">
      <c r="A126" s="25" t="str">
        <f>'CL - IFA v6 Smart - AQ'!D130</f>
        <v>AQ-Smart 20.02.01</v>
      </c>
      <c r="B126" s="25" t="str">
        <f>'CL - IFA v6 Smart - AQ'!I130</f>
        <v>Major Must</v>
      </c>
      <c r="C126" s="25" t="str">
        <f>IF('CL - IFA v6 Smart - AQ'!M130 = 0,"",'CL - IFA v6 Smart - AQ'!M130)</f>
        <v>not answered/error</v>
      </c>
      <c r="D126" s="25" t="str">
        <f>IF('CL - IFA v6 Smart - AQ'!Q130 = 0, "",'CL - IFA v6 Smart - AQ'!Q130)</f>
        <v>Qualifications and requirements of the person that approved and signed the AHP have been verified (no personal data should be recorded).
Document identification 
name:
code:
revision: 
date:
Content verification of the AHP: 
+ Updated accordingly.
+ Items number applicable to the operation.
+ Items number not applicable to the operation.</v>
      </c>
      <c r="E126" s="26" t="str">
        <f>IF('CL - IFA v6 Smart - AQ'!R130 = 0,"",'CL - IFA v6 Smart - AQ'!R130)</f>
        <v/>
      </c>
      <c r="F126" s="1"/>
      <c r="G126" s="1"/>
      <c r="H126" s="25" t="str">
        <f>IF('Audit Result'!C126 = "No", IF('Audit Result'!G126 = "x", "Closed", "Open"), "")</f>
        <v/>
      </c>
      <c r="I126" s="1"/>
      <c r="J126" s="1"/>
      <c r="K126" s="1"/>
    </row>
    <row r="127" spans="1:11" x14ac:dyDescent="0.3">
      <c r="A127" s="25" t="str">
        <f>'CL - IFA v6 Smart - AQ'!D131</f>
        <v>AQ-Smart 20.02.02</v>
      </c>
      <c r="B127" s="25" t="str">
        <f>'CL - IFA v6 Smart - AQ'!I131</f>
        <v>Major Must</v>
      </c>
      <c r="C127" s="25" t="str">
        <f>IF('CL - IFA v6 Smart - AQ'!M131 = 0,"",'CL - IFA v6 Smart - AQ'!M131)</f>
        <v>not answered/error</v>
      </c>
      <c r="D127" s="25" t="str">
        <f>IF('CL - IFA v6 Smart - AQ'!Q131 = 0, "",'CL - IFA v6 Smart - AQ'!Q131)</f>
        <v/>
      </c>
      <c r="E127" s="26" t="str">
        <f>IF('CL - IFA v6 Smart - AQ'!R131 = 0,"",'CL - IFA v6 Smart - AQ'!R131)</f>
        <v/>
      </c>
      <c r="F127" s="1"/>
      <c r="G127" s="1"/>
      <c r="H127" s="25" t="str">
        <f>IF('Audit Result'!C127 = "No", IF('Audit Result'!G127 = "x", "Closed", "Open"), "")</f>
        <v/>
      </c>
      <c r="I127" s="1"/>
      <c r="J127" s="1"/>
      <c r="K127" s="1"/>
    </row>
    <row r="128" spans="1:11" ht="172.8" x14ac:dyDescent="0.3">
      <c r="A128" s="25" t="str">
        <f>'CL - IFA v6 Smart - AQ'!D132</f>
        <v>AQ-Smart 20.02.03</v>
      </c>
      <c r="B128" s="25" t="str">
        <f>'CL - IFA v6 Smart - AQ'!I132</f>
        <v>Major Must</v>
      </c>
      <c r="C128" s="25" t="str">
        <f>IF('CL - IFA v6 Smart - AQ'!M132 = 0,"",'CL - IFA v6 Smart - AQ'!M132)</f>
        <v>not answered/error</v>
      </c>
      <c r="D128" s="25" t="str">
        <f>IF('CL - IFA v6 Smart - AQ'!Q132 = 0, "",'CL - IFA v6 Smart - AQ'!Q132)</f>
        <v>Legal requirement for health status certification as free from known diseases: yes/no? 
If yes, document identification 
document name:
code:
revision: 
date:
If no, refer to AQ 20.02.06.</v>
      </c>
      <c r="E128" s="26" t="str">
        <f>IF('CL - IFA v6 Smart - AQ'!R132 = 0,"",'CL - IFA v6 Smart - AQ'!R132)</f>
        <v/>
      </c>
      <c r="F128" s="1"/>
      <c r="G128" s="1"/>
      <c r="H128" s="25" t="str">
        <f>IF('Audit Result'!C128 = "No", IF('Audit Result'!G128 = "x", "Closed", "Open"), "")</f>
        <v/>
      </c>
      <c r="I128" s="1"/>
      <c r="J128" s="1"/>
      <c r="K128" s="1"/>
    </row>
    <row r="129" spans="1:11" ht="115.2" x14ac:dyDescent="0.3">
      <c r="A129" s="25" t="str">
        <f>'CL - IFA v6 Smart - AQ'!D133</f>
        <v>AQ-Smart 20.02.04</v>
      </c>
      <c r="B129" s="25" t="str">
        <f>'CL - IFA v6 Smart - AQ'!I133</f>
        <v>Major Must</v>
      </c>
      <c r="C129" s="25" t="str">
        <f>IF('CL - IFA v6 Smart - AQ'!M133 = 0,"",'CL - IFA v6 Smart - AQ'!M133)</f>
        <v>not answered/error</v>
      </c>
      <c r="D129" s="25" t="str">
        <f>IF('CL - IFA v6 Smart - AQ'!Q133 = 0, "",'CL - IFA v6 Smart - AQ'!Q133)</f>
        <v>Brood stock used at the farm: yes/no? 
If yes, document identification 
name:
code:
revision: 
date:</v>
      </c>
      <c r="E129" s="26" t="str">
        <f>IF('CL - IFA v6 Smart - AQ'!R133 = 0,"",'CL - IFA v6 Smart - AQ'!R133)</f>
        <v/>
      </c>
      <c r="F129" s="1"/>
      <c r="G129" s="1"/>
      <c r="H129" s="25" t="str">
        <f>IF('Audit Result'!C129 = "No", IF('Audit Result'!G129 = "x", "Closed", "Open"), "")</f>
        <v/>
      </c>
      <c r="I129" s="1"/>
      <c r="J129" s="1"/>
      <c r="K129" s="1"/>
    </row>
    <row r="130" spans="1:11" x14ac:dyDescent="0.3">
      <c r="A130" s="25" t="str">
        <f>'CL - IFA v6 Smart - AQ'!D134</f>
        <v>AQ-Smart 20.02.05</v>
      </c>
      <c r="B130" s="25" t="str">
        <f>'CL - IFA v6 Smart - AQ'!I134</f>
        <v>Major Must</v>
      </c>
      <c r="C130" s="25" t="str">
        <f>IF('CL - IFA v6 Smart - AQ'!M134 = 0,"",'CL - IFA v6 Smart - AQ'!M134)</f>
        <v>not answered/error</v>
      </c>
      <c r="D130" s="25" t="str">
        <f>IF('CL - IFA v6 Smart - AQ'!Q134 = 0, "",'CL - IFA v6 Smart - AQ'!Q134)</f>
        <v>Item 2 of the AHP verified.</v>
      </c>
      <c r="E130" s="26" t="str">
        <f>IF('CL - IFA v6 Smart - AQ'!R134 = 0,"",'CL - IFA v6 Smart - AQ'!R134)</f>
        <v/>
      </c>
      <c r="F130" s="1"/>
      <c r="G130" s="1"/>
      <c r="H130" s="25" t="str">
        <f>IF('Audit Result'!C130 = "No", IF('Audit Result'!G130 = "x", "Closed", "Open"), "")</f>
        <v/>
      </c>
      <c r="I130" s="1"/>
      <c r="J130" s="1"/>
      <c r="K130" s="1"/>
    </row>
    <row r="131" spans="1:11" ht="158.4" x14ac:dyDescent="0.3">
      <c r="A131" s="25" t="str">
        <f>'CL - IFA v6 Smart - AQ'!D135</f>
        <v>AQ-Smart 20.02.06</v>
      </c>
      <c r="B131" s="25" t="str">
        <f>'CL - IFA v6 Smart - AQ'!I135</f>
        <v>Major Must</v>
      </c>
      <c r="C131" s="25" t="str">
        <f>IF('CL - IFA v6 Smart - AQ'!M135 = 0,"",'CL - IFA v6 Smart - AQ'!M135)</f>
        <v>not answered/error</v>
      </c>
      <c r="D131" s="25" t="str">
        <f>IF('CL - IFA v6 Smart - AQ'!Q135 = 0, "",'CL - IFA v6 Smart - AQ'!Q135)</f>
        <v>Document identification of good health and welfare parameters used before movement:
name:
code:
revision: 
date:
Cross-check with the documents reviewed during traceability.</v>
      </c>
      <c r="E131" s="26" t="str">
        <f>IF('CL - IFA v6 Smart - AQ'!R135 = 0,"",'CL - IFA v6 Smart - AQ'!R135)</f>
        <v/>
      </c>
      <c r="F131" s="1"/>
      <c r="G131" s="1"/>
      <c r="H131" s="25" t="str">
        <f>IF('Audit Result'!C131 = "No", IF('Audit Result'!G131 = "x", "Closed", "Open"), "")</f>
        <v/>
      </c>
      <c r="I131" s="1"/>
      <c r="J131" s="1"/>
      <c r="K131" s="1"/>
    </row>
    <row r="132" spans="1:11" ht="100.8" x14ac:dyDescent="0.3">
      <c r="A132" s="25" t="str">
        <f>'CL - IFA v6 Smart - AQ'!D136</f>
        <v>AQ-Smart 20.02.07</v>
      </c>
      <c r="B132" s="25" t="str">
        <f>'CL - IFA v6 Smart - AQ'!I136</f>
        <v>Major Must</v>
      </c>
      <c r="C132" s="25" t="str">
        <f>IF('CL - IFA v6 Smart - AQ'!M136 = 0,"",'CL - IFA v6 Smart - AQ'!M136)</f>
        <v>not answered/error</v>
      </c>
      <c r="D132" s="25" t="str">
        <f>IF('CL - IFA v6 Smart - AQ'!Q136 = 0, "",'CL - IFA v6 Smart - AQ'!Q136)</f>
        <v>Document identification of the notifiable diseases and process to report:
name:
code:
revision: 
date:.</v>
      </c>
      <c r="E132" s="26" t="str">
        <f>IF('CL - IFA v6 Smart - AQ'!R136 = 0,"",'CL - IFA v6 Smart - AQ'!R136)</f>
        <v/>
      </c>
      <c r="F132" s="1"/>
      <c r="G132" s="1"/>
      <c r="H132" s="25" t="str">
        <f>IF('Audit Result'!C132 = "No", IF('Audit Result'!G132 = "x", "Closed", "Open"), "")</f>
        <v/>
      </c>
      <c r="I132" s="1"/>
      <c r="J132" s="1"/>
      <c r="K132" s="1"/>
    </row>
    <row r="133" spans="1:11" ht="129.6" x14ac:dyDescent="0.3">
      <c r="A133" s="25" t="str">
        <f>'CL - IFA v6 Smart - AQ'!D137</f>
        <v>AQ-Smart 20.02.08</v>
      </c>
      <c r="B133" s="25" t="str">
        <f>'CL - IFA v6 Smart - AQ'!I137</f>
        <v>Major Must</v>
      </c>
      <c r="C133" s="25" t="str">
        <f>IF('CL - IFA v6 Smart - AQ'!M137 = 0,"",'CL - IFA v6 Smart - AQ'!M137)</f>
        <v>not answered/error</v>
      </c>
      <c r="D133" s="25" t="str">
        <f>IF('CL - IFA v6 Smart - AQ'!Q137 = 0, "",'CL - IFA v6 Smart - AQ'!Q137)</f>
        <v>Document identification of farmed aquatic species register on health and welfare indicators and all disease occurrences:
name:
code:
revision: 
date:</v>
      </c>
      <c r="E133" s="26" t="str">
        <f>IF('CL - IFA v6 Smart - AQ'!R137 = 0,"",'CL - IFA v6 Smart - AQ'!R137)</f>
        <v/>
      </c>
      <c r="F133" s="1"/>
      <c r="G133" s="1"/>
      <c r="H133" s="25" t="str">
        <f>IF('Audit Result'!C133 = "No", IF('Audit Result'!G133 = "x", "Closed", "Open"), "")</f>
        <v/>
      </c>
      <c r="I133" s="1"/>
      <c r="J133" s="1"/>
      <c r="K133" s="1"/>
    </row>
    <row r="134" spans="1:11" ht="172.8" x14ac:dyDescent="0.3">
      <c r="A134" s="25" t="str">
        <f>'CL - IFA v6 Smart - AQ'!D138</f>
        <v>AQ-Smart 20.02.09</v>
      </c>
      <c r="B134" s="25" t="str">
        <f>'CL - IFA v6 Smart - AQ'!I138</f>
        <v>Major Must</v>
      </c>
      <c r="C134" s="25" t="str">
        <f>IF('CL - IFA v6 Smart - AQ'!M138 = 0,"",'CL - IFA v6 Smart - AQ'!M138)</f>
        <v>not answered/error</v>
      </c>
      <c r="D134" s="25" t="str">
        <f>IF('CL - IFA v6 Smart - AQ'!Q138 = 0, "",'CL - IFA v6 Smart - AQ'!Q138)</f>
        <v xml:space="preserve">Document identification  for hygine
name:
code:
revision: 
date:
This can be the same as AQ 03.03 but shall include consideration to farmed aquatic species health and welfare. 
</v>
      </c>
      <c r="E134" s="26" t="str">
        <f>IF('CL - IFA v6 Smart - AQ'!R138 = 0,"",'CL - IFA v6 Smart - AQ'!R138)</f>
        <v/>
      </c>
      <c r="F134" s="1"/>
      <c r="G134" s="1"/>
      <c r="H134" s="25" t="str">
        <f>IF('Audit Result'!C134 = "No", IF('Audit Result'!G134 = "x", "Closed", "Open"), "")</f>
        <v/>
      </c>
      <c r="I134" s="1"/>
      <c r="J134" s="1"/>
      <c r="K134" s="1"/>
    </row>
    <row r="135" spans="1:11" ht="57.6" x14ac:dyDescent="0.3">
      <c r="A135" s="25" t="str">
        <f>'CL - IFA v6 Smart - AQ'!D139</f>
        <v>AQ-Smart 20.02.10</v>
      </c>
      <c r="B135" s="25" t="str">
        <f>'CL - IFA v6 Smart - AQ'!I139</f>
        <v>Major Must</v>
      </c>
      <c r="C135" s="25" t="str">
        <f>IF('CL - IFA v6 Smart - AQ'!M139 = 0,"",'CL - IFA v6 Smart - AQ'!M139)</f>
        <v>not answered/error</v>
      </c>
      <c r="D135" s="25" t="str">
        <f>IF('CL - IFA v6 Smart - AQ'!Q139 = 0, "",'CL - IFA v6 Smart - AQ'!Q139)</f>
        <v>Document identification of example of record for average weight and biomass at the site: XXX</v>
      </c>
      <c r="E135" s="26" t="str">
        <f>IF('CL - IFA v6 Smart - AQ'!R139 = 0,"",'CL - IFA v6 Smart - AQ'!R139)</f>
        <v/>
      </c>
      <c r="F135" s="1"/>
      <c r="G135" s="1"/>
      <c r="H135" s="25" t="str">
        <f>IF('Audit Result'!C135 = "No", IF('Audit Result'!G135 = "x", "Closed", "Open"), "")</f>
        <v/>
      </c>
      <c r="I135" s="1"/>
      <c r="J135" s="1"/>
      <c r="K135" s="1"/>
    </row>
    <row r="136" spans="1:11" ht="86.4" x14ac:dyDescent="0.3">
      <c r="A136" s="25" t="str">
        <f>'CL - IFA v6 Smart - AQ'!D140</f>
        <v>AQ-Smart 20.02.11</v>
      </c>
      <c r="B136" s="25" t="str">
        <f>'CL - IFA v6 Smart - AQ'!I140</f>
        <v>Minor Must</v>
      </c>
      <c r="C136" s="25" t="str">
        <f>IF('CL - IFA v6 Smart - AQ'!M140 = 0,"",'CL - IFA v6 Smart - AQ'!M140)</f>
        <v>not answered/error</v>
      </c>
      <c r="D136" s="25" t="str">
        <f>IF('CL - IFA v6 Smart - AQ'!Q140 = 0, "",'CL - IFA v6 Smart - AQ'!Q140)</f>
        <v>Document identification  of grading instructions:
name:
code:
revision: 
date:</v>
      </c>
      <c r="E136" s="26" t="str">
        <f>IF('CL - IFA v6 Smart - AQ'!R140 = 0,"",'CL - IFA v6 Smart - AQ'!R140)</f>
        <v/>
      </c>
      <c r="F136" s="1"/>
      <c r="G136" s="1"/>
      <c r="H136" s="25" t="str">
        <f>IF('Audit Result'!C136 = "No", IF('Audit Result'!G136 = "x", "Closed", "Open"), "")</f>
        <v/>
      </c>
      <c r="I136" s="1"/>
      <c r="J136" s="1"/>
      <c r="K136" s="1"/>
    </row>
    <row r="137" spans="1:11" ht="115.2" x14ac:dyDescent="0.3">
      <c r="A137" s="25" t="str">
        <f>'CL - IFA v6 Smart - AQ'!D141</f>
        <v>AQ-Smart 20.02.12</v>
      </c>
      <c r="B137" s="25" t="str">
        <f>'CL - IFA v6 Smart - AQ'!I141</f>
        <v>Major Must</v>
      </c>
      <c r="C137" s="25" t="str">
        <f>IF('CL - IFA v6 Smart - AQ'!M141 = 0,"",'CL - IFA v6 Smart - AQ'!M141)</f>
        <v>not answered/error</v>
      </c>
      <c r="D137" s="25" t="str">
        <f>IF('CL - IFA v6 Smart - AQ'!Q141 = 0, "",'CL - IFA v6 Smart - AQ'!Q141)</f>
        <v>Document identificationof feeding instructions:
name:
code:
revision: 
date:
Example of feeding records verified: XXX</v>
      </c>
      <c r="E137" s="26" t="str">
        <f>IF('CL - IFA v6 Smart - AQ'!R141 = 0,"",'CL - IFA v6 Smart - AQ'!R141)</f>
        <v/>
      </c>
      <c r="F137" s="1"/>
      <c r="G137" s="1"/>
      <c r="H137" s="25" t="str">
        <f>IF('Audit Result'!C137 = "No", IF('Audit Result'!G137 = "x", "Closed", "Open"), "")</f>
        <v/>
      </c>
      <c r="I137" s="1"/>
      <c r="J137" s="1"/>
      <c r="K137" s="1"/>
    </row>
    <row r="138" spans="1:11" ht="216" x14ac:dyDescent="0.3">
      <c r="A138" s="25" t="str">
        <f>'CL - IFA v6 Smart - AQ'!D142</f>
        <v>AQ-Smart 20.02.13</v>
      </c>
      <c r="B138" s="25" t="str">
        <f>'CL - IFA v6 Smart - AQ'!I142</f>
        <v>Major Must</v>
      </c>
      <c r="C138" s="25" t="str">
        <f>IF('CL - IFA v6 Smart - AQ'!M142 = 0,"",'CL - IFA v6 Smart - AQ'!M142)</f>
        <v>not answered/error</v>
      </c>
      <c r="D138" s="25" t="str">
        <f>IF('CL - IFA v6 Smart - AQ'!Q142 = 0, "",'CL - IFA v6 Smart - AQ'!Q142)</f>
        <v>Document identification  of set densities for hatchery, grow-out, and transport for all stages covered in the certificate:
name:
code:
revision: 
date:
Example of density verified during the audit
Cage/tank:
batch:
biomass:
density:</v>
      </c>
      <c r="E138" s="26" t="str">
        <f>IF('CL - IFA v6 Smart - AQ'!R142 = 0,"",'CL - IFA v6 Smart - AQ'!R142)</f>
        <v/>
      </c>
      <c r="F138" s="1"/>
      <c r="G138" s="1"/>
      <c r="H138" s="25" t="str">
        <f>IF('Audit Result'!C138 = "No", IF('Audit Result'!G138 = "x", "Closed", "Open"), "")</f>
        <v/>
      </c>
      <c r="I138" s="1"/>
      <c r="J138" s="1"/>
      <c r="K138" s="1"/>
    </row>
    <row r="139" spans="1:11" ht="100.8" x14ac:dyDescent="0.3">
      <c r="A139" s="25" t="str">
        <f>'CL - IFA v6 Smart - AQ'!D143</f>
        <v>AQ-Smart 20.02.14</v>
      </c>
      <c r="B139" s="25" t="str">
        <f>'CL - IFA v6 Smart - AQ'!I143</f>
        <v>Major Must</v>
      </c>
      <c r="C139" s="25" t="str">
        <f>IF('CL - IFA v6 Smart - AQ'!M143 = 0,"",'CL - IFA v6 Smart - AQ'!M143)</f>
        <v>not answered/error</v>
      </c>
      <c r="D139" s="25" t="str">
        <f>IF('CL - IFA v6 Smart - AQ'!Q143 = 0, "",'CL - IFA v6 Smart - AQ'!Q143)</f>
        <v>Document identification  the risk assessment on animal welfare:
name:
code:
revision: 
date:</v>
      </c>
      <c r="E139" s="26" t="str">
        <f>IF('CL - IFA v6 Smart - AQ'!R143 = 0,"",'CL - IFA v6 Smart - AQ'!R143)</f>
        <v/>
      </c>
      <c r="F139" s="1"/>
      <c r="G139" s="1"/>
      <c r="H139" s="25" t="str">
        <f>IF('Audit Result'!C139 = "No", IF('Audit Result'!G139 = "x", "Closed", "Open"), "")</f>
        <v/>
      </c>
      <c r="I139" s="1"/>
      <c r="J139" s="1"/>
      <c r="K139" s="1"/>
    </row>
    <row r="140" spans="1:11" ht="43.2" x14ac:dyDescent="0.3">
      <c r="A140" s="25" t="str">
        <f>'CL - IFA v6 Smart - AQ'!D144</f>
        <v>AQ-Smart 20.02.15</v>
      </c>
      <c r="B140" s="25" t="str">
        <f>'CL - IFA v6 Smart - AQ'!I144</f>
        <v>Minor Must</v>
      </c>
      <c r="C140" s="25" t="str">
        <f>IF('CL - IFA v6 Smart - AQ'!M144 = 0,"",'CL - IFA v6 Smart - AQ'!M144)</f>
        <v>not answered/error</v>
      </c>
      <c r="D140" s="25" t="str">
        <f>IF('CL - IFA v6 Smart - AQ'!Q144 = 0, "",'CL - IFA v6 Smart - AQ'!Q144)</f>
        <v xml:space="preserve">Refer to AQ 20.02.14, risk assessment on animal welfare. </v>
      </c>
      <c r="E140" s="26" t="str">
        <f>IF('CL - IFA v6 Smart - AQ'!R144 = 0,"",'CL - IFA v6 Smart - AQ'!R144)</f>
        <v/>
      </c>
      <c r="F140" s="1"/>
      <c r="G140" s="1"/>
      <c r="H140" s="25" t="str">
        <f>IF('Audit Result'!C140 = "No", IF('Audit Result'!G140 = "x", "Closed", "Open"), "")</f>
        <v/>
      </c>
      <c r="I140" s="1"/>
      <c r="J140" s="1"/>
      <c r="K140" s="1"/>
    </row>
    <row r="141" spans="1:11" ht="158.4" x14ac:dyDescent="0.3">
      <c r="A141" s="25" t="str">
        <f>'CL - IFA v6 Smart - AQ'!D145</f>
        <v>AQ-Smart 20.02.16</v>
      </c>
      <c r="B141" s="25" t="str">
        <f>'CL - IFA v6 Smart - AQ'!I145</f>
        <v>Major Must</v>
      </c>
      <c r="C141" s="25" t="str">
        <f>IF('CL - IFA v6 Smart - AQ'!M145 = 0,"",'CL - IFA v6 Smart - AQ'!M145)</f>
        <v>not answered/error</v>
      </c>
      <c r="D141" s="25" t="str">
        <f>IF('CL - IFA v6 Smart - AQ'!Q145 = 0, "",'CL - IFA v6 Smart - AQ'!Q145)</f>
        <v xml:space="preserve">Document identification of potential water pollution sources:
name:
code:
revision: 
date:
Refer to AQ 20.02.18 water quality monitoring and control program. </v>
      </c>
      <c r="E141" s="26" t="str">
        <f>IF('CL - IFA v6 Smart - AQ'!R145 = 0,"",'CL - IFA v6 Smart - AQ'!R145)</f>
        <v/>
      </c>
      <c r="F141" s="1"/>
      <c r="G141" s="1"/>
      <c r="H141" s="25" t="str">
        <f>IF('Audit Result'!C141 = "No", IF('Audit Result'!G141 = "x", "Closed", "Open"), "")</f>
        <v/>
      </c>
      <c r="I141" s="1"/>
      <c r="J141" s="1"/>
      <c r="K141" s="1"/>
    </row>
    <row r="142" spans="1:11" ht="28.8" x14ac:dyDescent="0.3">
      <c r="A142" s="25" t="str">
        <f>'CL - IFA v6 Smart - AQ'!D146</f>
        <v>AQ-Smart 20.02.17</v>
      </c>
      <c r="B142" s="25" t="str">
        <f>'CL - IFA v6 Smart - AQ'!I146</f>
        <v>Major Must</v>
      </c>
      <c r="C142" s="25" t="str">
        <f>IF('CL - IFA v6 Smart - AQ'!M146 = 0,"",'CL - IFA v6 Smart - AQ'!M146)</f>
        <v>not answered/error</v>
      </c>
      <c r="D142" s="25" t="str">
        <f>IF('CL - IFA v6 Smart - AQ'!Q146 = 0, "",'CL - IFA v6 Smart - AQ'!Q146)</f>
        <v>Brief description of the visual inspection performed.</v>
      </c>
      <c r="E142" s="26" t="str">
        <f>IF('CL - IFA v6 Smart - AQ'!R146 = 0,"",'CL - IFA v6 Smart - AQ'!R146)</f>
        <v/>
      </c>
      <c r="F142" s="1"/>
      <c r="G142" s="1"/>
      <c r="H142" s="25" t="str">
        <f>IF('Audit Result'!C142 = "No", IF('Audit Result'!G142 = "x", "Closed", "Open"), "")</f>
        <v/>
      </c>
      <c r="I142" s="1"/>
      <c r="J142" s="1"/>
      <c r="K142" s="1"/>
    </row>
    <row r="143" spans="1:11" ht="144" x14ac:dyDescent="0.3">
      <c r="A143" s="25" t="str">
        <f>'CL - IFA v6 Smart - AQ'!D147</f>
        <v>AQ-Smart 20.02.18</v>
      </c>
      <c r="B143" s="25" t="str">
        <f>'CL - IFA v6 Smart - AQ'!I147</f>
        <v>Major Must</v>
      </c>
      <c r="C143" s="25" t="str">
        <f>IF('CL - IFA v6 Smart - AQ'!M147 = 0,"",'CL - IFA v6 Smart - AQ'!M147)</f>
        <v>not answered/error</v>
      </c>
      <c r="D143" s="25" t="str">
        <f>IF('CL - IFA v6 Smart - AQ'!Q147 = 0, "",'CL - IFA v6 Smart - AQ'!Q147)</f>
        <v>Document identification  of water quality monitoring:
name:
code:
revision: 
date:
example of controll verified:
type of controll:
frequency:
laboratory:</v>
      </c>
      <c r="E143" s="26" t="str">
        <f>IF('CL - IFA v6 Smart - AQ'!R147 = 0,"",'CL - IFA v6 Smart - AQ'!R147)</f>
        <v/>
      </c>
      <c r="F143" s="1"/>
      <c r="G143" s="1"/>
      <c r="H143" s="25" t="str">
        <f>IF('Audit Result'!C143 = "No", IF('Audit Result'!G143 = "x", "Closed", "Open"), "")</f>
        <v/>
      </c>
      <c r="I143" s="1"/>
      <c r="J143" s="1"/>
      <c r="K143" s="1"/>
    </row>
    <row r="144" spans="1:11" x14ac:dyDescent="0.3">
      <c r="A144" s="25" t="str">
        <f>'CL - IFA v6 Smart - AQ'!D148</f>
        <v>AQ-Smart 20.02.19</v>
      </c>
      <c r="B144" s="25" t="str">
        <f>'CL - IFA v6 Smart - AQ'!I148</f>
        <v>Major Must</v>
      </c>
      <c r="C144" s="25" t="str">
        <f>IF('CL - IFA v6 Smart - AQ'!M148 = 0,"",'CL - IFA v6 Smart - AQ'!M148)</f>
        <v>not answered/error</v>
      </c>
      <c r="D144" s="25" t="str">
        <f>IF('CL - IFA v6 Smart - AQ'!Q148 = 0, "",'CL - IFA v6 Smart - AQ'!Q148)</f>
        <v>Refer to AQ 04.02.04.</v>
      </c>
      <c r="E144" s="26" t="str">
        <f>IF('CL - IFA v6 Smart - AQ'!R148 = 0,"",'CL - IFA v6 Smart - AQ'!R148)</f>
        <v/>
      </c>
      <c r="F144" s="1"/>
      <c r="G144" s="1"/>
      <c r="H144" s="25" t="str">
        <f>IF('Audit Result'!C144 = "No", IF('Audit Result'!G144 = "x", "Closed", "Open"), "")</f>
        <v/>
      </c>
      <c r="I144" s="1"/>
      <c r="J144" s="1"/>
      <c r="K144" s="1"/>
    </row>
    <row r="145" spans="1:11" ht="129.6" x14ac:dyDescent="0.3">
      <c r="A145" s="25" t="str">
        <f>'CL - IFA v6 Smart - AQ'!D149</f>
        <v>AQ-Smart 20.02.20</v>
      </c>
      <c r="B145" s="25" t="str">
        <f>'CL - IFA v6 Smart - AQ'!I149</f>
        <v>Major Must</v>
      </c>
      <c r="C145" s="25" t="str">
        <f>IF('CL - IFA v6 Smart - AQ'!M149 = 0,"",'CL - IFA v6 Smart - AQ'!M149)</f>
        <v>not answered/error</v>
      </c>
      <c r="D145" s="25" t="str">
        <f>IF('CL - IFA v6 Smart - AQ'!Q149 = 0, "",'CL - IFA v6 Smart - AQ'!Q149)</f>
        <v>Document identification where periods of crowding, time out of the water, grading, transport, and fasting are recorded:
name:
code:
revision: 
date:</v>
      </c>
      <c r="E145" s="26" t="str">
        <f>IF('CL - IFA v6 Smart - AQ'!R149 = 0,"",'CL - IFA v6 Smart - AQ'!R149)</f>
        <v/>
      </c>
      <c r="F145" s="1"/>
      <c r="G145" s="1"/>
      <c r="H145" s="25" t="str">
        <f>IF('Audit Result'!C145 = "No", IF('Audit Result'!G145 = "x", "Closed", "Open"), "")</f>
        <v/>
      </c>
      <c r="I145" s="1"/>
      <c r="J145" s="1"/>
      <c r="K145" s="1"/>
    </row>
    <row r="146" spans="1:11" ht="244.8" x14ac:dyDescent="0.3">
      <c r="A146" s="25" t="str">
        <f>'CL - IFA v6 Smart - AQ'!D150</f>
        <v>AQ-Smart 20.02.21</v>
      </c>
      <c r="B146" s="25" t="str">
        <f>'CL - IFA v6 Smart - AQ'!I150</f>
        <v>Minor Must</v>
      </c>
      <c r="C146" s="25" t="str">
        <f>IF('CL - IFA v6 Smart - AQ'!M150 = 0,"",'CL - IFA v6 Smart - AQ'!M150)</f>
        <v>not answered/error</v>
      </c>
      <c r="D146" s="25" t="str">
        <f>IF('CL - IFA v6 Smart - AQ'!Q150 = 0, "",'CL - IFA v6 Smart - AQ'!Q150)</f>
        <v>Document identification  of example of animal welfare feedback from grow-out stages:
name:
code:
revision: 
date:
Document identification  of example of animal welfare feedback from harvest/post-harvest stages:
name:
code:
revision: 
date:</v>
      </c>
      <c r="E146" s="26" t="str">
        <f>IF('CL - IFA v6 Smart - AQ'!R150 = 0,"",'CL - IFA v6 Smart - AQ'!R150)</f>
        <v/>
      </c>
      <c r="F146" s="1"/>
      <c r="G146" s="1"/>
      <c r="H146" s="25" t="str">
        <f>IF('Audit Result'!C146 = "No", IF('Audit Result'!G146 = "x", "Closed", "Open"), "")</f>
        <v/>
      </c>
      <c r="I146" s="1"/>
      <c r="J146" s="1"/>
      <c r="K146" s="1"/>
    </row>
    <row r="147" spans="1:11" x14ac:dyDescent="0.3">
      <c r="A147" s="25" t="str">
        <f>'CL - IFA v6 Smart - AQ'!D151</f>
        <v>AQ-Smart 20.02.22</v>
      </c>
      <c r="B147" s="25" t="str">
        <f>'CL - IFA v6 Smart - AQ'!I151</f>
        <v>Major Must</v>
      </c>
      <c r="C147" s="25" t="str">
        <f>IF('CL - IFA v6 Smart - AQ'!M151 = 0,"",'CL - IFA v6 Smart - AQ'!M151)</f>
        <v>not answered/error</v>
      </c>
      <c r="D147" s="25" t="str">
        <f>IF('CL - IFA v6 Smart - AQ'!Q151 = 0, "",'CL - IFA v6 Smart - AQ'!Q151)</f>
        <v xml:space="preserve">Refer to AQ 20.02.01. </v>
      </c>
      <c r="E147" s="26" t="str">
        <f>IF('CL - IFA v6 Smart - AQ'!R151 = 0,"",'CL - IFA v6 Smart - AQ'!R151)</f>
        <v/>
      </c>
      <c r="F147" s="1"/>
      <c r="G147" s="1"/>
      <c r="H147" s="25" t="str">
        <f>IF('Audit Result'!C147 = "No", IF('Audit Result'!G147 = "x", "Closed", "Open"), "")</f>
        <v/>
      </c>
      <c r="I147" s="1"/>
      <c r="J147" s="1"/>
      <c r="K147" s="1"/>
    </row>
    <row r="148" spans="1:11" ht="144" x14ac:dyDescent="0.3">
      <c r="A148" s="25" t="str">
        <f>'CL - IFA v6 Smart - AQ'!D152</f>
        <v>AQ-Smart 20.02.23</v>
      </c>
      <c r="B148" s="25" t="str">
        <f>'CL - IFA v6 Smart - AQ'!I152</f>
        <v>Major Must</v>
      </c>
      <c r="C148" s="25" t="str">
        <f>IF('CL - IFA v6 Smart - AQ'!M152 = 0,"",'CL - IFA v6 Smart - AQ'!M152)</f>
        <v>not answered/error</v>
      </c>
      <c r="D148" s="25" t="str">
        <f>IF('CL - IFA v6 Smart - AQ'!Q152 = 0, "",'CL - IFA v6 Smart - AQ'!Q152)</f>
        <v>Document identification  of thr management plan where cohabitant species are covered:
name:
code:
revision: 
date:
cohabitant specie:
origin:</v>
      </c>
      <c r="E148" s="26" t="str">
        <f>IF('CL - IFA v6 Smart - AQ'!R152 = 0,"",'CL - IFA v6 Smart - AQ'!R152)</f>
        <v/>
      </c>
      <c r="F148" s="1"/>
      <c r="G148" s="1"/>
      <c r="H148" s="25" t="str">
        <f>IF('Audit Result'!C148 = "No", IF('Audit Result'!G148 = "x", "Closed", "Open"), "")</f>
        <v/>
      </c>
      <c r="I148" s="1"/>
      <c r="J148" s="1"/>
      <c r="K148" s="1"/>
    </row>
    <row r="149" spans="1:11" ht="57.6" x14ac:dyDescent="0.3">
      <c r="A149" s="25" t="str">
        <f>'CL - IFA v6 Smart - AQ'!D153</f>
        <v>AQ-Smart 20.02.24</v>
      </c>
      <c r="B149" s="25" t="str">
        <f>'CL - IFA v6 Smart - AQ'!I153</f>
        <v>Major Must</v>
      </c>
      <c r="C149" s="25" t="str">
        <f>IF('CL - IFA v6 Smart - AQ'!M153 = 0,"",'CL - IFA v6 Smart - AQ'!M153)</f>
        <v>not answered/error</v>
      </c>
      <c r="D149" s="25" t="str">
        <f>IF('CL - IFA v6 Smart - AQ'!Q153 = 0, "",'CL - IFA v6 Smart - AQ'!Q153)</f>
        <v>Refer to AQ 20.02.18. 
If subcontractor used, refer to AQ 05.01.</v>
      </c>
      <c r="E149" s="26" t="str">
        <f>IF('CL - IFA v6 Smart - AQ'!R153 = 0,"",'CL - IFA v6 Smart - AQ'!R153)</f>
        <v/>
      </c>
      <c r="F149" s="1"/>
      <c r="G149" s="1"/>
      <c r="H149" s="25" t="str">
        <f>IF('Audit Result'!C149 = "No", IF('Audit Result'!G149 = "x", "Closed", "Open"), "")</f>
        <v/>
      </c>
      <c r="I149" s="1"/>
      <c r="J149" s="1"/>
      <c r="K149" s="1"/>
    </row>
    <row r="150" spans="1:11" x14ac:dyDescent="0.3">
      <c r="A150" s="25" t="str">
        <f>'CL - IFA v6 Smart - AQ'!D154</f>
        <v>AQ-Smart 20.03.01</v>
      </c>
      <c r="B150" s="25" t="str">
        <f>'CL - IFA v6 Smart - AQ'!I154</f>
        <v>Major Must</v>
      </c>
      <c r="C150" s="25" t="str">
        <f>IF('CL - IFA v6 Smart - AQ'!M154 = 0,"",'CL - IFA v6 Smart - AQ'!M154)</f>
        <v>not answered/error</v>
      </c>
      <c r="D150" s="25" t="str">
        <f>IF('CL - IFA v6 Smart - AQ'!Q154 = 0, "",'CL - IFA v6 Smart - AQ'!Q154)</f>
        <v xml:space="preserve">Refer to AQ 20.04.01. </v>
      </c>
      <c r="E150" s="26" t="str">
        <f>IF('CL - IFA v6 Smart - AQ'!R154 = 0,"",'CL - IFA v6 Smart - AQ'!R154)</f>
        <v/>
      </c>
      <c r="F150" s="1"/>
      <c r="G150" s="1"/>
      <c r="H150" s="25" t="str">
        <f>IF('Audit Result'!C150 = "No", IF('Audit Result'!G150 = "x", "Closed", "Open"), "")</f>
        <v/>
      </c>
      <c r="I150" s="1"/>
      <c r="J150" s="1"/>
      <c r="K150" s="1"/>
    </row>
    <row r="151" spans="1:11" x14ac:dyDescent="0.3">
      <c r="A151" s="25" t="str">
        <f>'CL - IFA v6 Smart - AQ'!D155</f>
        <v>AQ-Smart 20.03.02</v>
      </c>
      <c r="B151" s="25" t="str">
        <f>'CL - IFA v6 Smart - AQ'!I155</f>
        <v>Major Must</v>
      </c>
      <c r="C151" s="25" t="str">
        <f>IF('CL - IFA v6 Smart - AQ'!M155 = 0,"",'CL - IFA v6 Smart - AQ'!M155)</f>
        <v>not answered/error</v>
      </c>
      <c r="D151" s="25" t="str">
        <f>IF('CL - IFA v6 Smart - AQ'!Q155 = 0, "",'CL - IFA v6 Smart - AQ'!Q155)</f>
        <v xml:space="preserve">Refer to AQ 20.02.01. </v>
      </c>
      <c r="E151" s="26" t="str">
        <f>IF('CL - IFA v6 Smart - AQ'!R155 = 0,"",'CL - IFA v6 Smart - AQ'!R155)</f>
        <v/>
      </c>
      <c r="F151" s="1"/>
      <c r="G151" s="1"/>
      <c r="H151" s="25" t="str">
        <f>IF('Audit Result'!C151 = "No", IF('Audit Result'!G151 = "x", "Closed", "Open"), "")</f>
        <v/>
      </c>
      <c r="I151" s="1"/>
      <c r="J151" s="1"/>
      <c r="K151" s="1"/>
    </row>
    <row r="152" spans="1:11" ht="158.4" x14ac:dyDescent="0.3">
      <c r="A152" s="25" t="str">
        <f>'CL - IFA v6 Smart - AQ'!D156</f>
        <v>AQ-Smart 20.03.03</v>
      </c>
      <c r="B152" s="25" t="str">
        <f>'CL - IFA v6 Smart - AQ'!I156</f>
        <v>Major Must</v>
      </c>
      <c r="C152" s="25" t="str">
        <f>IF('CL - IFA v6 Smart - AQ'!M156 = 0,"",'CL - IFA v6 Smart - AQ'!M156)</f>
        <v>not answered/error</v>
      </c>
      <c r="D152" s="25" t="str">
        <f>IF('CL - IFA v6 Smart - AQ'!Q156 = 0, "",'CL - IFA v6 Smart - AQ'!Q156)</f>
        <v xml:space="preserve">Document identification  of applicable MRLs in the market where the farmed aquatic species will be traded (domestic or international):
name:
code:
revision: 
date:
List of CoD: </v>
      </c>
      <c r="E152" s="26" t="str">
        <f>IF('CL - IFA v6 Smart - AQ'!R156 = 0,"",'CL - IFA v6 Smart - AQ'!R156)</f>
        <v/>
      </c>
      <c r="F152" s="1"/>
      <c r="G152" s="1"/>
      <c r="H152" s="25" t="str">
        <f>IF('Audit Result'!C152 = "No", IF('Audit Result'!G152 = "x", "Closed", "Open"), "")</f>
        <v/>
      </c>
      <c r="I152" s="1"/>
      <c r="J152" s="1"/>
      <c r="K152" s="1"/>
    </row>
    <row r="153" spans="1:11" ht="43.2" x14ac:dyDescent="0.3">
      <c r="A153" s="25" t="str">
        <f>'CL - IFA v6 Smart - AQ'!D157</f>
        <v>AQ-Smart 20.03.04</v>
      </c>
      <c r="B153" s="25" t="str">
        <f>'CL - IFA v6 Smart - AQ'!I157</f>
        <v>Major Must</v>
      </c>
      <c r="C153" s="25" t="str">
        <f>IF('CL - IFA v6 Smart - AQ'!M157 = 0,"",'CL - IFA v6 Smart - AQ'!M157)</f>
        <v>not answered/error</v>
      </c>
      <c r="D153" s="25" t="str">
        <f>IF('CL - IFA v6 Smart - AQ'!Q157 = 0, "",'CL - IFA v6 Smart - AQ'!Q157)</f>
        <v xml:space="preserve">Refer to AQ 20.02.01. 
</v>
      </c>
      <c r="E153" s="26" t="str">
        <f>IF('CL - IFA v6 Smart - AQ'!R157 = 0,"",'CL - IFA v6 Smart - AQ'!R157)</f>
        <v/>
      </c>
      <c r="F153" s="1"/>
      <c r="G153" s="1"/>
      <c r="H153" s="25" t="str">
        <f>IF('Audit Result'!C153 = "No", IF('Audit Result'!G153 = "x", "Closed", "Open"), "")</f>
        <v/>
      </c>
      <c r="I153" s="1"/>
      <c r="J153" s="1"/>
      <c r="K153" s="1"/>
    </row>
    <row r="154" spans="1:11" ht="316.8" x14ac:dyDescent="0.3">
      <c r="A154" s="25" t="str">
        <f>'CL - IFA v6 Smart - AQ'!D158</f>
        <v>AQ-Smart 20.03.05</v>
      </c>
      <c r="B154" s="25" t="str">
        <f>'CL - IFA v6 Smart - AQ'!I158</f>
        <v>Major Must</v>
      </c>
      <c r="C154" s="25" t="str">
        <f>IF('CL - IFA v6 Smart - AQ'!M158 = 0,"",'CL - IFA v6 Smart - AQ'!M158)</f>
        <v>not answered/error</v>
      </c>
      <c r="D154" s="25" t="str">
        <f>IF('CL - IFA v6 Smart - AQ'!Q158 = 0, "",'CL - IFA v6 Smart - AQ'!Q158)</f>
        <v>Refer to AQ 20.02.01.  
Mixing feed with medicine on the farm: yes/no?If Yes:
- Target with justification XXX
- Person responsible for prescription XXX
- Trained person responsible for mixing feed with  medicines XXX
- Records of feed used XXX
- Active ingredient and product name XXX
- Concentrations used and mixing procedures following label instructions XXX
- Feeding administration procedure XXX
- Evidence of active ingredient concentration XXX
- Withdrawal times XXX</v>
      </c>
      <c r="E154" s="26" t="str">
        <f>IF('CL - IFA v6 Smart - AQ'!R158 = 0,"",'CL - IFA v6 Smart - AQ'!R158)</f>
        <v/>
      </c>
      <c r="F154" s="1"/>
      <c r="G154" s="1"/>
      <c r="H154" s="25" t="str">
        <f>IF('Audit Result'!C154 = "No", IF('Audit Result'!G154 = "x", "Closed", "Open"), "")</f>
        <v/>
      </c>
      <c r="I154" s="1"/>
      <c r="J154" s="1"/>
      <c r="K154" s="1"/>
    </row>
    <row r="155" spans="1:11" x14ac:dyDescent="0.3">
      <c r="A155" s="25" t="str">
        <f>'CL - IFA v6 Smart - AQ'!D159</f>
        <v>AQ-Smart 20.03.06</v>
      </c>
      <c r="B155" s="25" t="str">
        <f>'CL - IFA v6 Smart - AQ'!I159</f>
        <v>Major Must</v>
      </c>
      <c r="C155" s="25" t="str">
        <f>IF('CL - IFA v6 Smart - AQ'!M159 = 0,"",'CL - IFA v6 Smart - AQ'!M159)</f>
        <v>not answered/error</v>
      </c>
      <c r="D155" s="25" t="str">
        <f>IF('CL - IFA v6 Smart - AQ'!Q159 = 0, "",'CL - IFA v6 Smart - AQ'!Q159)</f>
        <v>Refer to AQ 20.02.01.</v>
      </c>
      <c r="E155" s="26" t="str">
        <f>IF('CL - IFA v6 Smart - AQ'!R159 = 0,"",'CL - IFA v6 Smart - AQ'!R159)</f>
        <v/>
      </c>
      <c r="F155" s="1"/>
      <c r="G155" s="1"/>
      <c r="H155" s="25" t="str">
        <f>IF('Audit Result'!C155 = "No", IF('Audit Result'!G155 = "x", "Closed", "Open"), "")</f>
        <v/>
      </c>
      <c r="I155" s="1"/>
      <c r="J155" s="1"/>
      <c r="K155" s="1"/>
    </row>
    <row r="156" spans="1:11" ht="86.4" x14ac:dyDescent="0.3">
      <c r="A156" s="25" t="str">
        <f>'CL - IFA v6 Smart - AQ'!D160</f>
        <v>AQ-Smart 20.03.07</v>
      </c>
      <c r="B156" s="25" t="str">
        <f>'CL - IFA v6 Smart - AQ'!I160</f>
        <v>Major Must</v>
      </c>
      <c r="C156" s="25" t="str">
        <f>IF('CL - IFA v6 Smart - AQ'!M160 = 0,"",'CL - IFA v6 Smart - AQ'!M160)</f>
        <v>not answered/error</v>
      </c>
      <c r="D156" s="25" t="str">
        <f>IF('CL - IFA v6 Smart - AQ'!Q160 = 0, "",'CL - IFA v6 Smart - AQ'!Q160)</f>
        <v xml:space="preserve">Document identification of example of vaccination related to the specific batch: (name of vaccine, date, batch, specie etc.)
</v>
      </c>
      <c r="E156" s="26" t="str">
        <f>IF('CL - IFA v6 Smart - AQ'!R160 = 0,"",'CL - IFA v6 Smart - AQ'!R160)</f>
        <v/>
      </c>
      <c r="F156" s="1"/>
      <c r="G156" s="1"/>
      <c r="H156" s="25" t="str">
        <f>IF('Audit Result'!C156 = "No", IF('Audit Result'!G156 = "x", "Closed", "Open"), "")</f>
        <v/>
      </c>
      <c r="I156" s="1"/>
      <c r="J156" s="1"/>
      <c r="K156" s="1"/>
    </row>
    <row r="157" spans="1:11" x14ac:dyDescent="0.3">
      <c r="A157" s="25" t="str">
        <f>'CL - IFA v6 Smart - AQ'!D161</f>
        <v>AQ-Smart 20.03.08</v>
      </c>
      <c r="B157" s="25" t="str">
        <f>'CL - IFA v6 Smart - AQ'!I161</f>
        <v>Major Must</v>
      </c>
      <c r="C157" s="25" t="str">
        <f>IF('CL - IFA v6 Smart - AQ'!M161 = 0,"",'CL - IFA v6 Smart - AQ'!M161)</f>
        <v>not answered/error</v>
      </c>
      <c r="D157" s="25" t="str">
        <f>IF('CL - IFA v6 Smart - AQ'!Q161 = 0, "",'CL - IFA v6 Smart - AQ'!Q161)</f>
        <v>Refer to AQ 20.02.01, AHP</v>
      </c>
      <c r="E157" s="26" t="str">
        <f>IF('CL - IFA v6 Smart - AQ'!R161 = 0,"",'CL - IFA v6 Smart - AQ'!R161)</f>
        <v/>
      </c>
      <c r="F157" s="1"/>
      <c r="G157" s="1"/>
      <c r="H157" s="25" t="str">
        <f>IF('Audit Result'!C157 = "No", IF('Audit Result'!G157 = "x", "Closed", "Open"), "")</f>
        <v/>
      </c>
      <c r="I157" s="1"/>
      <c r="J157" s="1"/>
      <c r="K157" s="1"/>
    </row>
    <row r="158" spans="1:11" ht="115.2" x14ac:dyDescent="0.3">
      <c r="A158" s="25" t="str">
        <f>'CL - IFA v6 Smart - AQ'!D162</f>
        <v>AQ-Smart 20.03.09</v>
      </c>
      <c r="B158" s="25" t="str">
        <f>'CL - IFA v6 Smart - AQ'!I162</f>
        <v>Major Must</v>
      </c>
      <c r="C158" s="25" t="str">
        <f>IF('CL - IFA v6 Smart - AQ'!M162 = 0,"",'CL - IFA v6 Smart - AQ'!M162)</f>
        <v>not answered/error</v>
      </c>
      <c r="D158" s="25" t="str">
        <f>IF('CL - IFA v6 Smart - AQ'!Q162 = 0, "",'CL - IFA v6 Smart - AQ'!Q162)</f>
        <v>Medicine or medicated feed disposal documented procedure reviewed. 
Document identification 
name:
code:
revision: 
date:</v>
      </c>
      <c r="E158" s="26" t="str">
        <f>IF('CL - IFA v6 Smart - AQ'!R162 = 0,"",'CL - IFA v6 Smart - AQ'!R162)</f>
        <v/>
      </c>
      <c r="F158" s="1"/>
      <c r="G158" s="1"/>
      <c r="H158" s="25" t="str">
        <f>IF('Audit Result'!C158 = "No", IF('Audit Result'!G158 = "x", "Closed", "Open"), "")</f>
        <v/>
      </c>
      <c r="I158" s="1"/>
      <c r="J158" s="1"/>
      <c r="K158" s="1"/>
    </row>
    <row r="159" spans="1:11" ht="72" x14ac:dyDescent="0.3">
      <c r="A159" s="25" t="str">
        <f>'CL - IFA v6 Smart - AQ'!D163</f>
        <v>AQ-Smart 20.04.01</v>
      </c>
      <c r="B159" s="25" t="str">
        <f>'CL - IFA v6 Smart - AQ'!I163</f>
        <v>Major Must</v>
      </c>
      <c r="C159" s="25" t="str">
        <f>IF('CL - IFA v6 Smart - AQ'!M163 = 0,"",'CL - IFA v6 Smart - AQ'!M163)</f>
        <v>not answered/error</v>
      </c>
      <c r="D159" s="25" t="str">
        <f>IF('CL - IFA v6 Smart - AQ'!Q163 = 0, "",'CL - IFA v6 Smart - AQ'!Q163)</f>
        <v>Document identification of purchased records: XXX
Document identification of administrated records:XXX</v>
      </c>
      <c r="E159" s="26" t="str">
        <f>IF('CL - IFA v6 Smart - AQ'!R163 = 0,"",'CL - IFA v6 Smart - AQ'!R163)</f>
        <v/>
      </c>
      <c r="F159" s="1"/>
      <c r="G159" s="1"/>
      <c r="H159" s="25" t="str">
        <f>IF('Audit Result'!C159 = "No", IF('Audit Result'!G159 = "x", "Closed", "Open"), "")</f>
        <v/>
      </c>
      <c r="I159" s="1"/>
      <c r="J159" s="1"/>
      <c r="K159" s="1"/>
    </row>
    <row r="160" spans="1:11" ht="129.6" x14ac:dyDescent="0.3">
      <c r="A160" s="25" t="str">
        <f>'CL - IFA v6 Smart - AQ'!D164</f>
        <v>AQ-Smart 20.04.02</v>
      </c>
      <c r="B160" s="25" t="str">
        <f>'CL - IFA v6 Smart - AQ'!I164</f>
        <v>Major Must</v>
      </c>
      <c r="C160" s="25" t="str">
        <f>IF('CL - IFA v6 Smart - AQ'!M164 = 0,"",'CL - IFA v6 Smart - AQ'!M164)</f>
        <v>not answered/error</v>
      </c>
      <c r="D160" s="25" t="str">
        <f>IF('CL - IFA v6 Smart - AQ'!Q164 = 0, "",'CL - IFA v6 Smart - AQ'!Q164)</f>
        <v>For treatment records, refer to AQ 20.04.01. 
Document identification  of trend analysis:
name:
code:
revision: 
date:</v>
      </c>
      <c r="E160" s="26" t="str">
        <f>IF('CL - IFA v6 Smart - AQ'!R164 = 0,"",'CL - IFA v6 Smart - AQ'!R164)</f>
        <v/>
      </c>
      <c r="F160" s="1"/>
      <c r="G160" s="1"/>
      <c r="H160" s="25" t="str">
        <f>IF('Audit Result'!C160 = "No", IF('Audit Result'!G160 = "x", "Closed", "Open"), "")</f>
        <v/>
      </c>
      <c r="I160" s="1"/>
      <c r="J160" s="1"/>
      <c r="K160" s="1"/>
    </row>
    <row r="161" spans="1:11" ht="43.2" x14ac:dyDescent="0.3">
      <c r="A161" s="25" t="str">
        <f>'CL - IFA v6 Smart - AQ'!D165</f>
        <v>AQ-Smart 20.04.03</v>
      </c>
      <c r="B161" s="25" t="str">
        <f>'CL - IFA v6 Smart - AQ'!I165</f>
        <v>Major Must</v>
      </c>
      <c r="C161" s="25" t="str">
        <f>IF('CL - IFA v6 Smart - AQ'!M165 = 0,"",'CL - IFA v6 Smart - AQ'!M165)</f>
        <v>not answered/error</v>
      </c>
      <c r="D161" s="25" t="str">
        <f>IF('CL - IFA v6 Smart - AQ'!Q165 = 0, "",'CL - IFA v6 Smart - AQ'!Q165)</f>
        <v>Evidence that a system for identification of treated biomass is in place.</v>
      </c>
      <c r="E161" s="26" t="str">
        <f>IF('CL - IFA v6 Smart - AQ'!R165 = 0,"",'CL - IFA v6 Smart - AQ'!R165)</f>
        <v/>
      </c>
      <c r="F161" s="1"/>
      <c r="G161" s="1"/>
      <c r="H161" s="25" t="str">
        <f>IF('Audit Result'!C161 = "No", IF('Audit Result'!G161 = "x", "Closed", "Open"), "")</f>
        <v/>
      </c>
      <c r="I161" s="1"/>
      <c r="J161" s="1"/>
      <c r="K161" s="1"/>
    </row>
    <row r="162" spans="1:11" ht="72" x14ac:dyDescent="0.3">
      <c r="A162" s="25" t="str">
        <f>'CL - IFA v6 Smart - AQ'!D166</f>
        <v>AQ-Smart 20.04.04</v>
      </c>
      <c r="B162" s="25" t="str">
        <f>'CL - IFA v6 Smart - AQ'!I166</f>
        <v>Major Must</v>
      </c>
      <c r="C162" s="25" t="str">
        <f>IF('CL - IFA v6 Smart - AQ'!M166 = 0,"",'CL - IFA v6 Smart - AQ'!M166)</f>
        <v>not answered/error</v>
      </c>
      <c r="D162" s="25" t="str">
        <f>IF('CL - IFA v6 Smart - AQ'!Q166 = 0, "",'CL - IFA v6 Smart - AQ'!Q166)</f>
        <v>Document identification  of records on site of treatment and preharvest withdrawal period related to specific dates:XXXX</v>
      </c>
      <c r="E162" s="26" t="str">
        <f>IF('CL - IFA v6 Smart - AQ'!R166 = 0,"",'CL - IFA v6 Smart - AQ'!R166)</f>
        <v/>
      </c>
      <c r="F162" s="1"/>
      <c r="G162" s="1"/>
      <c r="H162" s="25" t="str">
        <f>IF('Audit Result'!C162 = "No", IF('Audit Result'!G162 = "x", "Closed", "Open"), "")</f>
        <v/>
      </c>
      <c r="I162" s="1"/>
      <c r="J162" s="1"/>
      <c r="K162" s="1"/>
    </row>
    <row r="163" spans="1:11" ht="28.8" x14ac:dyDescent="0.3">
      <c r="A163" s="25" t="str">
        <f>'CL - IFA v6 Smart - AQ'!D167</f>
        <v>AQ-Smart 20.05.01</v>
      </c>
      <c r="B163" s="25" t="str">
        <f>'CL - IFA v6 Smart - AQ'!I167</f>
        <v>Major Must</v>
      </c>
      <c r="C163" s="25" t="str">
        <f>IF('CL - IFA v6 Smart - AQ'!M167 = 0,"",'CL - IFA v6 Smart - AQ'!M167)</f>
        <v>not answered/error</v>
      </c>
      <c r="D163" s="25" t="str">
        <f>IF('CL - IFA v6 Smart - AQ'!Q167 = 0, "",'CL - IFA v6 Smart - AQ'!Q167)</f>
        <v>Refer to AQ 20.02.01, item 14.</v>
      </c>
      <c r="E163" s="26" t="str">
        <f>IF('CL - IFA v6 Smart - AQ'!R167 = 0,"",'CL - IFA v6 Smart - AQ'!R167)</f>
        <v/>
      </c>
      <c r="F163" s="1"/>
      <c r="G163" s="1"/>
      <c r="H163" s="25" t="str">
        <f>IF('Audit Result'!C163 = "No", IF('Audit Result'!G163 = "x", "Closed", "Open"), "")</f>
        <v/>
      </c>
      <c r="I163" s="1"/>
      <c r="J163" s="1"/>
      <c r="K163" s="1"/>
    </row>
    <row r="164" spans="1:11" ht="144" x14ac:dyDescent="0.3">
      <c r="A164" s="25" t="str">
        <f>'CL - IFA v6 Smart - AQ'!D168</f>
        <v>AQ-Smart 20.05.02</v>
      </c>
      <c r="B164" s="25" t="str">
        <f>'CL - IFA v6 Smart - AQ'!I168</f>
        <v>Major Must</v>
      </c>
      <c r="C164" s="25" t="str">
        <f>IF('CL - IFA v6 Smart - AQ'!M168 = 0,"",'CL - IFA v6 Smart - AQ'!M168)</f>
        <v>not answered/error</v>
      </c>
      <c r="D164" s="25" t="str">
        <f>IF('CL - IFA v6 Smart - AQ'!Q168 = 0, "",'CL - IFA v6 Smart - AQ'!Q168)</f>
        <v>Values: 
1) value of the overall percentage of mortalities per production stage XXX
2) values linked to the causes of death XXX
Document identification of records at production unit level: XXX</v>
      </c>
      <c r="E164" s="26" t="str">
        <f>IF('CL - IFA v6 Smart - AQ'!R168 = 0,"",'CL - IFA v6 Smart - AQ'!R168)</f>
        <v/>
      </c>
      <c r="F164" s="1"/>
      <c r="G164" s="1"/>
      <c r="H164" s="25" t="str">
        <f>IF('Audit Result'!C164 = "No", IF('Audit Result'!G164 = "x", "Closed", "Open"), "")</f>
        <v/>
      </c>
      <c r="I164" s="1"/>
      <c r="J164" s="1"/>
      <c r="K164" s="1"/>
    </row>
    <row r="165" spans="1:11" ht="72" x14ac:dyDescent="0.3">
      <c r="A165" s="25" t="str">
        <f>'CL - IFA v6 Smart - AQ'!D169</f>
        <v>AQ-Smart 20.05.03</v>
      </c>
      <c r="B165" s="25" t="str">
        <f>'CL - IFA v6 Smart - AQ'!I169</f>
        <v>Major Must</v>
      </c>
      <c r="C165" s="25" t="str">
        <f>IF('CL - IFA v6 Smart - AQ'!M169 = 0,"",'CL - IFA v6 Smart - AQ'!M169)</f>
        <v>not answered/error</v>
      </c>
      <c r="D165" s="25" t="str">
        <f>IF('CL - IFA v6 Smart - AQ'!Q169 = 0, "",'CL - IFA v6 Smart - AQ'!Q169)</f>
        <v xml:space="preserve">Refer to AHP 20.02.01, item 13.
Refer to AQ 05.01 if applicable. </v>
      </c>
      <c r="E165" s="26" t="str">
        <f>IF('CL - IFA v6 Smart - AQ'!R169 = 0,"",'CL - IFA v6 Smart - AQ'!R169)</f>
        <v/>
      </c>
      <c r="F165" s="1"/>
      <c r="G165" s="1"/>
      <c r="H165" s="25" t="str">
        <f>IF('Audit Result'!C165 = "No", IF('Audit Result'!G165 = "x", "Closed", "Open"), "")</f>
        <v/>
      </c>
      <c r="I165" s="1"/>
      <c r="J165" s="1"/>
      <c r="K165" s="1"/>
    </row>
    <row r="166" spans="1:11" ht="244.8" x14ac:dyDescent="0.3">
      <c r="A166" s="25" t="str">
        <f>'CL - IFA v6 Smart - AQ'!D170</f>
        <v>AQ-Smart 20.05.04</v>
      </c>
      <c r="B166" s="25" t="str">
        <f>'CL - IFA v6 Smart - AQ'!I170</f>
        <v>Major Must</v>
      </c>
      <c r="C166" s="25" t="str">
        <f>IF('CL - IFA v6 Smart - AQ'!M170 = 0,"",'CL - IFA v6 Smart - AQ'!M170)</f>
        <v>not answered/error</v>
      </c>
      <c r="D166" s="25" t="str">
        <f>IF('CL - IFA v6 Smart - AQ'!Q170 = 0, "",'CL - IFA v6 Smart - AQ'!Q170)</f>
        <v>Document identification  of contingency plan for dealing with mass mortalities:
name:
code:
revision: 
date:
In case there has been an episode on mass mortality during the last certification cycle, evidence of communication to the veterinarian/aquatic animal health professional and relevant government official: XXX</v>
      </c>
      <c r="E166" s="26" t="str">
        <f>IF('CL - IFA v6 Smart - AQ'!R170 = 0,"",'CL - IFA v6 Smart - AQ'!R170)</f>
        <v/>
      </c>
      <c r="F166" s="1"/>
      <c r="G166" s="1"/>
      <c r="H166" s="25" t="str">
        <f>IF('Audit Result'!C166 = "No", IF('Audit Result'!G166 = "x", "Closed", "Open"), "")</f>
        <v/>
      </c>
      <c r="I166" s="1"/>
      <c r="J166" s="1"/>
      <c r="K166" s="1"/>
    </row>
    <row r="167" spans="1:11" ht="43.2" x14ac:dyDescent="0.3">
      <c r="A167" s="25" t="str">
        <f>'CL - IFA v6 Smart - AQ'!D171</f>
        <v>AQ-Smart 20.06.01</v>
      </c>
      <c r="B167" s="25" t="str">
        <f>'CL - IFA v6 Smart - AQ'!I171</f>
        <v>Major Must</v>
      </c>
      <c r="C167" s="25" t="str">
        <f>IF('CL - IFA v6 Smart - AQ'!M171 = 0,"",'CL - IFA v6 Smart - AQ'!M171)</f>
        <v>not answered/error</v>
      </c>
      <c r="D167" s="25" t="str">
        <f>IF('CL - IFA v6 Smart - AQ'!Q171 = 0, "",'CL - IFA v6 Smart - AQ'!Q171)</f>
        <v>Document identification  of water depth and suspended pen nets dimensions: XXX</v>
      </c>
      <c r="E167" s="26" t="str">
        <f>IF('CL - IFA v6 Smart - AQ'!R171 = 0,"",'CL - IFA v6 Smart - AQ'!R171)</f>
        <v/>
      </c>
      <c r="F167" s="1"/>
      <c r="G167" s="1"/>
      <c r="H167" s="25" t="str">
        <f>IF('Audit Result'!C167 = "No", IF('Audit Result'!G167 = "x", "Closed", "Open"), "")</f>
        <v/>
      </c>
      <c r="I167" s="1"/>
      <c r="J167" s="1"/>
      <c r="K167" s="1"/>
    </row>
    <row r="168" spans="1:11" ht="43.2" x14ac:dyDescent="0.3">
      <c r="A168" s="25" t="str">
        <f>'CL - IFA v6 Smart - AQ'!D172</f>
        <v>AQ-Smart 20.06.02</v>
      </c>
      <c r="B168" s="25" t="str">
        <f>'CL - IFA v6 Smart - AQ'!I172</f>
        <v>Major Must</v>
      </c>
      <c r="C168" s="25" t="str">
        <f>IF('CL - IFA v6 Smart - AQ'!M172 = 0,"",'CL - IFA v6 Smart - AQ'!M172)</f>
        <v>not answered/error</v>
      </c>
      <c r="D168" s="25" t="str">
        <f>IF('CL - IFA v6 Smart - AQ'!Q172 = 0, "",'CL - IFA v6 Smart - AQ'!Q172)</f>
        <v>Document identification  of net maintenance records:
XXX</v>
      </c>
      <c r="E168" s="26" t="str">
        <f>IF('CL - IFA v6 Smart - AQ'!R172 = 0,"",'CL - IFA v6 Smart - AQ'!R172)</f>
        <v/>
      </c>
      <c r="F168" s="1"/>
      <c r="G168" s="1"/>
      <c r="H168" s="25" t="str">
        <f>IF('Audit Result'!C168 = "No", IF('Audit Result'!G168 = "x", "Closed", "Open"), "")</f>
        <v/>
      </c>
      <c r="I168" s="1"/>
      <c r="J168" s="1"/>
      <c r="K168" s="1"/>
    </row>
    <row r="169" spans="1:11" ht="43.2" x14ac:dyDescent="0.3">
      <c r="A169" s="25" t="str">
        <f>'CL - IFA v6 Smart - AQ'!D173</f>
        <v>AQ-Smart 20.06.03</v>
      </c>
      <c r="B169" s="25" t="str">
        <f>'CL - IFA v6 Smart - AQ'!I173</f>
        <v>Major Must</v>
      </c>
      <c r="C169" s="25" t="str">
        <f>IF('CL - IFA v6 Smart - AQ'!M173 = 0,"",'CL - IFA v6 Smart - AQ'!M173)</f>
        <v>not answered/error</v>
      </c>
      <c r="D169" s="25" t="str">
        <f>IF('CL - IFA v6 Smart - AQ'!Q173 = 0, "",'CL - IFA v6 Smart - AQ'!Q173)</f>
        <v>Net mesh size appropriate based on range of farmed aquatic species size.</v>
      </c>
      <c r="E169" s="26" t="str">
        <f>IF('CL - IFA v6 Smart - AQ'!R173 = 0,"",'CL - IFA v6 Smart - AQ'!R173)</f>
        <v/>
      </c>
      <c r="F169" s="1"/>
      <c r="G169" s="1"/>
      <c r="H169" s="25" t="str">
        <f>IF('Audit Result'!C169 = "No", IF('Audit Result'!G169 = "x", "Closed", "Open"), "")</f>
        <v/>
      </c>
      <c r="I169" s="1"/>
      <c r="J169" s="1"/>
      <c r="K169" s="1"/>
    </row>
    <row r="170" spans="1:11" ht="57.6" x14ac:dyDescent="0.3">
      <c r="A170" s="25" t="str">
        <f>'CL - IFA v6 Smart - AQ'!D174</f>
        <v>AQ-Smart 20.06.04</v>
      </c>
      <c r="B170" s="25" t="str">
        <f>'CL - IFA v6 Smart - AQ'!I174</f>
        <v>Major Must</v>
      </c>
      <c r="C170" s="25" t="str">
        <f>IF('CL - IFA v6 Smart - AQ'!M174 = 0,"",'CL - IFA v6 Smart - AQ'!M174)</f>
        <v>not answered/error</v>
      </c>
      <c r="D170" s="25" t="str">
        <f>IF('CL - IFA v6 Smart - AQ'!Q174 = 0, "",'CL - IFA v6 Smart - AQ'!Q174)</f>
        <v>Document identification (name/code, date/edition, etc.) of pen and mooring system maintenance: XXXX</v>
      </c>
      <c r="E170" s="26" t="str">
        <f>IF('CL - IFA v6 Smart - AQ'!R174 = 0,"",'CL - IFA v6 Smart - AQ'!R174)</f>
        <v/>
      </c>
      <c r="F170" s="1"/>
      <c r="G170" s="1"/>
      <c r="H170" s="25" t="str">
        <f>IF('Audit Result'!C170 = "No", IF('Audit Result'!G170 = "x", "Closed", "Open"), "")</f>
        <v/>
      </c>
      <c r="I170" s="1"/>
      <c r="J170" s="1"/>
      <c r="K170" s="1"/>
    </row>
    <row r="171" spans="1:11" ht="72" x14ac:dyDescent="0.3">
      <c r="A171" s="25" t="str">
        <f>'CL - IFA v6 Smart - AQ'!D175</f>
        <v>AQ-Smart 20.06.05</v>
      </c>
      <c r="B171" s="25" t="str">
        <f>'CL - IFA v6 Smart - AQ'!I175</f>
        <v>Major Must</v>
      </c>
      <c r="C171" s="25" t="str">
        <f>IF('CL - IFA v6 Smart - AQ'!M175 = 0,"",'CL - IFA v6 Smart - AQ'!M175)</f>
        <v>not answered/error</v>
      </c>
      <c r="D171" s="25" t="str">
        <f>IF('CL - IFA v6 Smart - AQ'!Q175 = 0, "",'CL - IFA v6 Smart - AQ'!Q175)</f>
        <v xml:space="preserve">Evidence that pens in body of water are clearly marked. Description of evidence presented for day and night navigation aids used. </v>
      </c>
      <c r="E171" s="26" t="str">
        <f>IF('CL - IFA v6 Smart - AQ'!R175 = 0,"",'CL - IFA v6 Smart - AQ'!R175)</f>
        <v/>
      </c>
      <c r="F171" s="1"/>
      <c r="G171" s="1"/>
      <c r="H171" s="25" t="str">
        <f>IF('Audit Result'!C171 = "No", IF('Audit Result'!G171 = "x", "Closed", "Open"), "")</f>
        <v/>
      </c>
      <c r="I171" s="1"/>
      <c r="J171" s="1"/>
      <c r="K171" s="1"/>
    </row>
    <row r="172" spans="1:11" ht="57.6" x14ac:dyDescent="0.3">
      <c r="A172" s="25" t="str">
        <f>'CL - IFA v6 Smart - AQ'!D176</f>
        <v>AQ-Smart 20.07.01</v>
      </c>
      <c r="B172" s="25" t="str">
        <f>'CL - IFA v6 Smart - AQ'!I176</f>
        <v>Major Must</v>
      </c>
      <c r="C172" s="25" t="str">
        <f>IF('CL - IFA v6 Smart - AQ'!M176 = 0,"",'CL - IFA v6 Smart - AQ'!M176)</f>
        <v>not answered/error</v>
      </c>
      <c r="D172" s="25" t="str">
        <f>IF('CL - IFA v6 Smart - AQ'!Q176 = 0, "",'CL - IFA v6 Smart - AQ'!Q176)</f>
        <v>Refer to item 20 of AHP.
Records of fallowing and restocking in place.</v>
      </c>
      <c r="E172" s="26" t="str">
        <f>IF('CL - IFA v6 Smart - AQ'!R176 = 0,"",'CL - IFA v6 Smart - AQ'!R176)</f>
        <v/>
      </c>
      <c r="F172" s="1"/>
      <c r="G172" s="1"/>
      <c r="H172" s="25" t="str">
        <f>IF('Audit Result'!C172 = "No", IF('Audit Result'!G172 = "x", "Closed", "Open"), "")</f>
        <v/>
      </c>
      <c r="I172" s="1"/>
      <c r="J172" s="1"/>
      <c r="K172" s="1"/>
    </row>
    <row r="173" spans="1:11" x14ac:dyDescent="0.3">
      <c r="A173" s="25" t="str">
        <f>'CL - IFA v6 Smart - AQ'!D177</f>
        <v>AQ-Smart 20.07.02</v>
      </c>
      <c r="B173" s="25" t="str">
        <f>'CL - IFA v6 Smart - AQ'!I177</f>
        <v>Minor Must</v>
      </c>
      <c r="C173" s="25" t="str">
        <f>IF('CL - IFA v6 Smart - AQ'!M177 = 0,"",'CL - IFA v6 Smart - AQ'!M177)</f>
        <v>not answered/error</v>
      </c>
      <c r="D173" s="25" t="str">
        <f>IF('CL - IFA v6 Smart - AQ'!Q177 = 0, "",'CL - IFA v6 Smart - AQ'!Q177)</f>
        <v/>
      </c>
      <c r="E173" s="26" t="str">
        <f>IF('CL - IFA v6 Smart - AQ'!R177 = 0,"",'CL - IFA v6 Smart - AQ'!R177)</f>
        <v/>
      </c>
      <c r="F173" s="1"/>
      <c r="G173" s="1"/>
      <c r="H173" s="25" t="str">
        <f>IF('Audit Result'!C173 = "No", IF('Audit Result'!G173 = "x", "Closed", "Open"), "")</f>
        <v/>
      </c>
      <c r="I173" s="1"/>
      <c r="J173" s="1"/>
      <c r="K173" s="1"/>
    </row>
    <row r="174" spans="1:11" x14ac:dyDescent="0.3">
      <c r="A174" s="25" t="str">
        <f>'CL - IFA v6 Smart - AQ'!D178</f>
        <v>AQ-Smart 20.07.03</v>
      </c>
      <c r="B174" s="25" t="str">
        <f>'CL - IFA v6 Smart - AQ'!I178</f>
        <v>Major Must</v>
      </c>
      <c r="C174" s="25" t="str">
        <f>IF('CL - IFA v6 Smart - AQ'!M178 = 0,"",'CL - IFA v6 Smart - AQ'!M178)</f>
        <v>not answered/error</v>
      </c>
      <c r="D174" s="25" t="str">
        <f>IF('CL - IFA v6 Smart - AQ'!Q178 = 0, "",'CL - IFA v6 Smart - AQ'!Q178)</f>
        <v/>
      </c>
      <c r="E174" s="26" t="str">
        <f>IF('CL - IFA v6 Smart - AQ'!R178 = 0,"",'CL - IFA v6 Smart - AQ'!R178)</f>
        <v/>
      </c>
      <c r="F174" s="1"/>
      <c r="G174" s="1"/>
      <c r="H174" s="25" t="str">
        <f>IF('Audit Result'!C174 = "No", IF('Audit Result'!G174 = "x", "Closed", "Open"), "")</f>
        <v/>
      </c>
      <c r="I174" s="1"/>
      <c r="J174" s="1"/>
      <c r="K174" s="1"/>
    </row>
    <row r="175" spans="1:11" ht="57.6" x14ac:dyDescent="0.3">
      <c r="A175" s="25" t="str">
        <f>'CL - IFA v6 Smart - AQ'!D179</f>
        <v>AQ-Smart 20.07.04</v>
      </c>
      <c r="B175" s="25" t="str">
        <f>'CL - IFA v6 Smart - AQ'!I179</f>
        <v>Major Must</v>
      </c>
      <c r="C175" s="25" t="str">
        <f>IF('CL - IFA v6 Smart - AQ'!M179 = 0,"",'CL - IFA v6 Smart - AQ'!M179)</f>
        <v>not answered/error</v>
      </c>
      <c r="D175" s="25" t="str">
        <f>IF('CL - IFA v6 Smart - AQ'!Q179 = 0, "",'CL - IFA v6 Smart - AQ'!Q179)</f>
        <v xml:space="preserve">Document identification (name/code, date/edition, etc.) of inorganic fertilization per pond if the case: </v>
      </c>
      <c r="E175" s="26" t="str">
        <f>IF('CL - IFA v6 Smart - AQ'!R179 = 0,"",'CL - IFA v6 Smart - AQ'!R179)</f>
        <v/>
      </c>
      <c r="F175" s="1"/>
      <c r="G175" s="1"/>
      <c r="H175" s="25" t="str">
        <f>IF('Audit Result'!C175 = "No", IF('Audit Result'!G175 = "x", "Closed", "Open"), "")</f>
        <v/>
      </c>
      <c r="I175" s="1"/>
      <c r="J175" s="1"/>
      <c r="K175" s="1"/>
    </row>
    <row r="176" spans="1:11" ht="57.6" x14ac:dyDescent="0.3">
      <c r="A176" s="25" t="str">
        <f>'CL - IFA v6 Smart - AQ'!D180</f>
        <v>AQ-Smart 20.07.05</v>
      </c>
      <c r="B176" s="25" t="str">
        <f>'CL - IFA v6 Smart - AQ'!I180</f>
        <v>Major Must</v>
      </c>
      <c r="C176" s="25" t="str">
        <f>IF('CL - IFA v6 Smart - AQ'!M180 = 0,"",'CL - IFA v6 Smart - AQ'!M180)</f>
        <v>not answered/error</v>
      </c>
      <c r="D176" s="25" t="str">
        <f>IF('CL - IFA v6 Smart - AQ'!Q180 = 0, "",'CL - IFA v6 Smart - AQ'!Q180)</f>
        <v xml:space="preserve">Document identification (name/code, date/edition, etc.) of the last sediment activity: </v>
      </c>
      <c r="E176" s="26" t="str">
        <f>IF('CL - IFA v6 Smart - AQ'!R180 = 0,"",'CL - IFA v6 Smart - AQ'!R180)</f>
        <v/>
      </c>
      <c r="F176" s="1"/>
      <c r="G176" s="1"/>
      <c r="H176" s="25" t="str">
        <f>IF('Audit Result'!C176 = "No", IF('Audit Result'!G176 = "x", "Closed", "Open"), "")</f>
        <v/>
      </c>
      <c r="I176" s="1"/>
      <c r="J176" s="1"/>
      <c r="K176" s="1"/>
    </row>
    <row r="177" spans="1:11" ht="100.8" x14ac:dyDescent="0.3">
      <c r="A177" s="25" t="str">
        <f>'CL - IFA v6 Smart - AQ'!D181</f>
        <v>AQ-Smart 20.08.01</v>
      </c>
      <c r="B177" s="25" t="str">
        <f>'CL - IFA v6 Smart - AQ'!I181</f>
        <v>Major Must</v>
      </c>
      <c r="C177" s="25" t="str">
        <f>IF('CL - IFA v6 Smart - AQ'!M181 = 0,"",'CL - IFA v6 Smart - AQ'!M181)</f>
        <v>not answered/error</v>
      </c>
      <c r="D177" s="25" t="str">
        <f>IF('CL - IFA v6 Smart - AQ'!Q181 = 0, "",'CL - IFA v6 Smart - AQ'!Q181)</f>
        <v>Document identification of Biosecurity plan
name:
code:
revision: 
date:
trainig:</v>
      </c>
      <c r="E177" s="26" t="str">
        <f>IF('CL - IFA v6 Smart - AQ'!R181 = 0,"",'CL - IFA v6 Smart - AQ'!R181)</f>
        <v/>
      </c>
      <c r="F177" s="1"/>
      <c r="G177" s="1"/>
      <c r="H177" s="25" t="str">
        <f>IF('Audit Result'!C177 = "No", IF('Audit Result'!G177 = "x", "Closed", "Open"), "")</f>
        <v/>
      </c>
      <c r="I177" s="1"/>
      <c r="J177" s="1"/>
      <c r="K177" s="1"/>
    </row>
    <row r="178" spans="1:11" ht="144" x14ac:dyDescent="0.3">
      <c r="A178" s="25" t="str">
        <f>'CL - IFA v6 Smart - AQ'!D182</f>
        <v>AQ-Smart 20.08.02</v>
      </c>
      <c r="B178" s="25" t="str">
        <f>'CL - IFA v6 Smart - AQ'!I182</f>
        <v>Major Must</v>
      </c>
      <c r="C178" s="25" t="str">
        <f>IF('CL - IFA v6 Smart - AQ'!M182 = 0,"",'CL - IFA v6 Smart - AQ'!M182)</f>
        <v>not answered/error</v>
      </c>
      <c r="D178" s="25" t="str">
        <f>IF('CL - IFA v6 Smart - AQ'!Q182 = 0, "",'CL - IFA v6 Smart - AQ'!Q182)</f>
        <v>Area management plan: yes/no?
If yes, document identification (name/code, date/edition, etc.):
If no, type of evidence demonstrating communication and collaboration.</v>
      </c>
      <c r="E178" s="26" t="str">
        <f>IF('CL - IFA v6 Smart - AQ'!R182 = 0,"",'CL - IFA v6 Smart - AQ'!R182)</f>
        <v/>
      </c>
      <c r="F178" s="1"/>
      <c r="G178" s="1"/>
      <c r="H178" s="25" t="str">
        <f>IF('Audit Result'!C178 = "No", IF('Audit Result'!G178 = "x", "Closed", "Open"), "")</f>
        <v/>
      </c>
      <c r="I178" s="1"/>
      <c r="J178" s="1"/>
      <c r="K178" s="1"/>
    </row>
    <row r="179" spans="1:11" ht="100.8" x14ac:dyDescent="0.3">
      <c r="A179" s="25" t="str">
        <f>'CL - IFA v6 Smart - AQ'!D183</f>
        <v>AQ-Smart 20.08.03</v>
      </c>
      <c r="B179" s="25" t="str">
        <f>'CL - IFA v6 Smart - AQ'!I183</f>
        <v>Major Must</v>
      </c>
      <c r="C179" s="25" t="str">
        <f>IF('CL - IFA v6 Smart - AQ'!M183 = 0,"",'CL - IFA v6 Smart - AQ'!M183)</f>
        <v>not answered/error</v>
      </c>
      <c r="D179" s="25" t="str">
        <f>IF('CL - IFA v6 Smart - AQ'!Q183 = 0, "",'CL - IFA v6 Smart - AQ'!Q183)</f>
        <v>Harvesting activities included in the audit.
Document identification of cleaning and disinfection records (name/code, date/edition, etc.):</v>
      </c>
      <c r="E179" s="26" t="str">
        <f>IF('CL - IFA v6 Smart - AQ'!R183 = 0,"",'CL - IFA v6 Smart - AQ'!R183)</f>
        <v/>
      </c>
      <c r="F179" s="1"/>
      <c r="G179" s="1"/>
      <c r="H179" s="25" t="str">
        <f>IF('Audit Result'!C179 = "No", IF('Audit Result'!G179 = "x", "Closed", "Open"), "")</f>
        <v/>
      </c>
      <c r="I179" s="1"/>
      <c r="J179" s="1"/>
      <c r="K179" s="1"/>
    </row>
    <row r="180" spans="1:11" ht="72" x14ac:dyDescent="0.3">
      <c r="A180" s="25" t="str">
        <f>'CL - IFA v6 Smart - AQ'!D184</f>
        <v>AQ-Smart 20.08.04</v>
      </c>
      <c r="B180" s="25" t="str">
        <f>'CL - IFA v6 Smart - AQ'!I184</f>
        <v>Major Must</v>
      </c>
      <c r="C180" s="25" t="str">
        <f>IF('CL - IFA v6 Smart - AQ'!M184 = 0,"",'CL - IFA v6 Smart - AQ'!M184)</f>
        <v>not answered/error</v>
      </c>
      <c r="D180" s="25" t="str">
        <f>IF('CL - IFA v6 Smart - AQ'!Q184 = 0, "",'CL - IFA v6 Smart - AQ'!Q184)</f>
        <v>Document identification 
name:
code:
revision: 
date:</v>
      </c>
      <c r="E180" s="26" t="str">
        <f>IF('CL - IFA v6 Smart - AQ'!R184 = 0,"",'CL - IFA v6 Smart - AQ'!R184)</f>
        <v/>
      </c>
      <c r="F180" s="1"/>
      <c r="G180" s="1"/>
      <c r="H180" s="25" t="str">
        <f>IF('Audit Result'!C180 = "No", IF('Audit Result'!G180 = "x", "Closed", "Open"), "")</f>
        <v/>
      </c>
      <c r="I180" s="1"/>
      <c r="J180" s="1"/>
      <c r="K180" s="1"/>
    </row>
    <row r="181" spans="1:11" ht="57.6" x14ac:dyDescent="0.3">
      <c r="A181" s="25" t="str">
        <f>'CL - IFA v6 Smart - AQ'!D185</f>
        <v>AQ-Smart 20.08.05</v>
      </c>
      <c r="B181" s="25" t="str">
        <f>'CL - IFA v6 Smart - AQ'!I185</f>
        <v>Major Must</v>
      </c>
      <c r="C181" s="25" t="str">
        <f>IF('CL - IFA v6 Smart - AQ'!M185 = 0,"",'CL - IFA v6 Smart - AQ'!M185)</f>
        <v>not answered/error</v>
      </c>
      <c r="D181" s="25" t="str">
        <f>IF('CL - IFA v6 Smart - AQ'!Q185 = 0, "",'CL - IFA v6 Smart - AQ'!Q185)</f>
        <v xml:space="preserve">Document identification (name/code, date/edition, etc.) of maintenance records: </v>
      </c>
      <c r="E181" s="26" t="str">
        <f>IF('CL - IFA v6 Smart - AQ'!R185 = 0,"",'CL - IFA v6 Smart - AQ'!R185)</f>
        <v/>
      </c>
      <c r="F181" s="1"/>
      <c r="G181" s="1"/>
      <c r="H181" s="25" t="str">
        <f>IF('Audit Result'!C181 = "No", IF('Audit Result'!G181 = "x", "Closed", "Open"), "")</f>
        <v/>
      </c>
      <c r="I181" s="1"/>
      <c r="J181" s="1"/>
      <c r="K181" s="1"/>
    </row>
    <row r="182" spans="1:11" ht="86.4" x14ac:dyDescent="0.3">
      <c r="A182" s="25" t="str">
        <f>'CL - IFA v6 Smart - AQ'!D186</f>
        <v>AQ-Smart 20.08.06</v>
      </c>
      <c r="B182" s="25" t="str">
        <f>'CL - IFA v6 Smart - AQ'!I186</f>
        <v>Major Must</v>
      </c>
      <c r="C182" s="25" t="str">
        <f>IF('CL - IFA v6 Smart - AQ'!M186 = 0,"",'CL - IFA v6 Smart - AQ'!M186)</f>
        <v>not answered/error</v>
      </c>
      <c r="D182" s="25" t="str">
        <f>IF('CL - IFA v6 Smart - AQ'!Q186 = 0, "",'CL - IFA v6 Smart - AQ'!Q186)</f>
        <v xml:space="preserve">Document identification (name/code, date/edition, etc.) of cleaning and disinfection: 
</v>
      </c>
      <c r="E182" s="26" t="str">
        <f>IF('CL - IFA v6 Smart - AQ'!R186 = 0,"",'CL - IFA v6 Smart - AQ'!R186)</f>
        <v/>
      </c>
      <c r="F182" s="1"/>
      <c r="G182" s="1"/>
      <c r="H182" s="25" t="str">
        <f>IF('Audit Result'!C182 = "No", IF('Audit Result'!G182 = "x", "Closed", "Open"), "")</f>
        <v/>
      </c>
      <c r="I182" s="1"/>
      <c r="J182" s="1"/>
      <c r="K182" s="1"/>
    </row>
    <row r="183" spans="1:11" ht="28.8" x14ac:dyDescent="0.3">
      <c r="A183" s="25" t="str">
        <f>'CL - IFA v6 Smart - AQ'!D187</f>
        <v>AQ-Smart 20.08.07</v>
      </c>
      <c r="B183" s="25" t="str">
        <f>'CL - IFA v6 Smart - AQ'!I187</f>
        <v>Major Must</v>
      </c>
      <c r="C183" s="25" t="str">
        <f>IF('CL - IFA v6 Smart - AQ'!M187 = 0,"",'CL - IFA v6 Smart - AQ'!M187)</f>
        <v>not answered/error</v>
      </c>
      <c r="D183" s="25" t="str">
        <f>IF('CL - IFA v6 Smart - AQ'!Q187 = 0, "",'CL - IFA v6 Smart - AQ'!Q187)</f>
        <v>Refer to biosecurity plan in AQ 20.08.01.</v>
      </c>
      <c r="E183" s="26" t="str">
        <f>IF('CL - IFA v6 Smart - AQ'!R187 = 0,"",'CL - IFA v6 Smart - AQ'!R187)</f>
        <v/>
      </c>
      <c r="F183" s="1"/>
      <c r="G183" s="1"/>
      <c r="H183" s="25" t="str">
        <f>IF('Audit Result'!C183 = "No", IF('Audit Result'!G183 = "x", "Closed", "Open"), "")</f>
        <v/>
      </c>
      <c r="I183" s="1"/>
      <c r="J183" s="1"/>
      <c r="K183" s="1"/>
    </row>
    <row r="184" spans="1:11" ht="43.2" x14ac:dyDescent="0.3">
      <c r="A184" s="25" t="str">
        <f>'CL - IFA v6 Smart - AQ'!D188</f>
        <v>AQ-Smart 20.08.08</v>
      </c>
      <c r="B184" s="25" t="str">
        <f>'CL - IFA v6 Smart - AQ'!I188</f>
        <v>Major Must</v>
      </c>
      <c r="C184" s="25" t="str">
        <f>IF('CL - IFA v6 Smart - AQ'!M188 = 0,"",'CL - IFA v6 Smart - AQ'!M188)</f>
        <v>not answered/error</v>
      </c>
      <c r="D184" s="25" t="str">
        <f>IF('CL - IFA v6 Smart - AQ'!Q188 = 0, "",'CL - IFA v6 Smart - AQ'!Q188)</f>
        <v>Refer to the AHP, item 4 (AQ 20.02.01, quarantine procedures).</v>
      </c>
      <c r="E184" s="26" t="str">
        <f>IF('CL - IFA v6 Smart - AQ'!R188 = 0,"",'CL - IFA v6 Smart - AQ'!R188)</f>
        <v/>
      </c>
      <c r="F184" s="1"/>
      <c r="G184" s="1"/>
      <c r="H184" s="25" t="str">
        <f>IF('Audit Result'!C184 = "No", IF('Audit Result'!G184 = "x", "Closed", "Open"), "")</f>
        <v/>
      </c>
      <c r="I184" s="1"/>
      <c r="J184" s="1"/>
      <c r="K184" s="1"/>
    </row>
    <row r="185" spans="1:11" ht="86.4" x14ac:dyDescent="0.3">
      <c r="A185" s="25" t="str">
        <f>'CL - IFA v6 Smart - AQ'!D189</f>
        <v>AQ-Smart 20.08.09</v>
      </c>
      <c r="B185" s="25" t="str">
        <f>'CL - IFA v6 Smart - AQ'!I189</f>
        <v>Major Must</v>
      </c>
      <c r="C185" s="25" t="str">
        <f>IF('CL - IFA v6 Smart - AQ'!M189 = 0,"",'CL - IFA v6 Smart - AQ'!M189)</f>
        <v>not answered/error</v>
      </c>
      <c r="D185" s="25" t="str">
        <f>IF('CL - IFA v6 Smart - AQ'!Q189 = 0, "",'CL - IFA v6 Smart - AQ'!Q189)</f>
        <v>Refer to AQ 20.02.06 for the health status records.
Quarantine activities during the last certification cycle: yes/no?</v>
      </c>
      <c r="E185" s="26" t="str">
        <f>IF('CL - IFA v6 Smart - AQ'!R189 = 0,"",'CL - IFA v6 Smart - AQ'!R189)</f>
        <v/>
      </c>
      <c r="F185" s="1"/>
      <c r="G185" s="1"/>
      <c r="H185" s="25" t="str">
        <f>IF('Audit Result'!C185 = "No", IF('Audit Result'!G185 = "x", "Closed", "Open"), "")</f>
        <v/>
      </c>
      <c r="I185" s="1"/>
      <c r="J185" s="1"/>
      <c r="K185" s="1"/>
    </row>
    <row r="186" spans="1:11" x14ac:dyDescent="0.3">
      <c r="A186" s="25" t="str">
        <f>'CL - IFA v6 Smart - AQ'!D190</f>
        <v>AQ-Smart 20.08.10</v>
      </c>
      <c r="B186" s="25" t="str">
        <f>'CL - IFA v6 Smart - AQ'!I190</f>
        <v>Major Must</v>
      </c>
      <c r="C186" s="25" t="str">
        <f>IF('CL - IFA v6 Smart - AQ'!M190 = 0,"",'CL - IFA v6 Smart - AQ'!M190)</f>
        <v>not answered/error</v>
      </c>
      <c r="D186" s="25" t="str">
        <f>IF('CL - IFA v6 Smart - AQ'!Q190 = 0, "",'CL - IFA v6 Smart - AQ'!Q190)</f>
        <v/>
      </c>
      <c r="E186" s="26" t="str">
        <f>IF('CL - IFA v6 Smart - AQ'!R190 = 0,"",'CL - IFA v6 Smart - AQ'!R190)</f>
        <v/>
      </c>
      <c r="F186" s="1"/>
      <c r="G186" s="1"/>
      <c r="H186" s="25" t="str">
        <f>IF('Audit Result'!C186 = "No", IF('Audit Result'!G186 = "x", "Closed", "Open"), "")</f>
        <v/>
      </c>
      <c r="I186" s="1"/>
      <c r="J186" s="1"/>
      <c r="K186" s="1"/>
    </row>
    <row r="187" spans="1:11" ht="100.8" x14ac:dyDescent="0.3">
      <c r="A187" s="25" t="str">
        <f>'CL - IFA v6 Smart - AQ'!D191</f>
        <v>AQ-Smart 20.08.11</v>
      </c>
      <c r="B187" s="25" t="str">
        <f>'CL - IFA v6 Smart - AQ'!I191</f>
        <v>Major Must</v>
      </c>
      <c r="C187" s="25" t="str">
        <f>IF('CL - IFA v6 Smart - AQ'!M191 = 0,"",'CL - IFA v6 Smart - AQ'!M191)</f>
        <v>not answered/error</v>
      </c>
      <c r="D187" s="25" t="str">
        <f>IF('CL - IFA v6 Smart - AQ'!Q191 = 0, "",'CL - IFA v6 Smart - AQ'!Q191)</f>
        <v xml:space="preserve">Refer to AQ 06.03.01 for water release. 
Document identification (name/code, date/edition, etc.) of incoming water treatment: </v>
      </c>
      <c r="E187" s="26" t="str">
        <f>IF('CL - IFA v6 Smart - AQ'!R191 = 0,"",'CL - IFA v6 Smart - AQ'!R191)</f>
        <v/>
      </c>
      <c r="F187" s="1"/>
      <c r="G187" s="1"/>
      <c r="H187" s="25" t="str">
        <f>IF('Audit Result'!C187 = "No", IF('Audit Result'!G187 = "x", "Closed", "Open"), "")</f>
        <v/>
      </c>
      <c r="I187" s="1"/>
      <c r="J187" s="1"/>
      <c r="K187" s="1"/>
    </row>
    <row r="188" spans="1:11" x14ac:dyDescent="0.3">
      <c r="A188" s="25" t="str">
        <f>'CL - IFA v6 Smart - AQ'!D192</f>
        <v>AQ-Smart 20.09.01</v>
      </c>
      <c r="B188" s="25" t="str">
        <f>'CL - IFA v6 Smart - AQ'!I192</f>
        <v>Major Must</v>
      </c>
      <c r="C188" s="25" t="str">
        <f>IF('CL - IFA v6 Smart - AQ'!M192 = 0,"",'CL - IFA v6 Smart - AQ'!M192)</f>
        <v>not answered/error</v>
      </c>
      <c r="D188" s="25" t="str">
        <f>IF('CL - IFA v6 Smart - AQ'!Q192 = 0, "",'CL - IFA v6 Smart - AQ'!Q192)</f>
        <v/>
      </c>
      <c r="E188" s="26" t="str">
        <f>IF('CL - IFA v6 Smart - AQ'!R192 = 0,"",'CL - IFA v6 Smart - AQ'!R192)</f>
        <v/>
      </c>
      <c r="F188" s="1"/>
      <c r="G188" s="1"/>
      <c r="H188" s="25" t="str">
        <f>IF('Audit Result'!C188 = "No", IF('Audit Result'!G188 = "x", "Closed", "Open"), "")</f>
        <v/>
      </c>
      <c r="I188" s="1"/>
      <c r="J188" s="1"/>
      <c r="K188" s="1"/>
    </row>
    <row r="189" spans="1:11" ht="144" x14ac:dyDescent="0.3">
      <c r="A189" s="25" t="str">
        <f>'CL - IFA v6 Smart - AQ'!D193</f>
        <v>AQ-Smart 20.09.02</v>
      </c>
      <c r="B189" s="25" t="str">
        <f>'CL - IFA v6 Smart - AQ'!I193</f>
        <v>Minor Must</v>
      </c>
      <c r="C189" s="25" t="str">
        <f>IF('CL - IFA v6 Smart - AQ'!M193 = 0,"",'CL - IFA v6 Smart - AQ'!M193)</f>
        <v>not answered/error</v>
      </c>
      <c r="D189" s="25" t="str">
        <f>IF('CL - IFA v6 Smart - AQ'!Q193 = 0, "",'CL - IFA v6 Smart - AQ'!Q193)</f>
        <v xml:space="preserve">Refer to AQ 07.03.01. 
Document identification (name/code, date/edition, etc.) of documented procedure to prevent accidental release of stock into the environment: 
</v>
      </c>
      <c r="E189" s="26" t="str">
        <f>IF('CL - IFA v6 Smart - AQ'!R193 = 0,"",'CL - IFA v6 Smart - AQ'!R193)</f>
        <v/>
      </c>
      <c r="F189" s="1"/>
      <c r="G189" s="1"/>
      <c r="H189" s="25" t="str">
        <f>IF('Audit Result'!C189 = "No", IF('Audit Result'!G189 = "x", "Closed", "Open"), "")</f>
        <v/>
      </c>
      <c r="I189" s="1"/>
      <c r="J189" s="1"/>
      <c r="K189" s="1"/>
    </row>
    <row r="190" spans="1:11" ht="72" x14ac:dyDescent="0.3">
      <c r="A190" s="25" t="str">
        <f>'CL - IFA v6 Smart - AQ'!D194</f>
        <v>AQ-Smart 20.09.03</v>
      </c>
      <c r="B190" s="25" t="str">
        <f>'CL - IFA v6 Smart - AQ'!I194</f>
        <v>Major Must</v>
      </c>
      <c r="C190" s="25" t="str">
        <f>IF('CL - IFA v6 Smart - AQ'!M194 = 0,"",'CL - IFA v6 Smart - AQ'!M194)</f>
        <v>not answered/error</v>
      </c>
      <c r="D190" s="25" t="str">
        <f>IF('CL - IFA v6 Smart - AQ'!Q194 = 0, "",'CL - IFA v6 Smart - AQ'!Q194)</f>
        <v>Document identification 
name:
code:
revision: 
date:</v>
      </c>
      <c r="E190" s="26" t="str">
        <f>IF('CL - IFA v6 Smart - AQ'!R194 = 0,"",'CL - IFA v6 Smart - AQ'!R194)</f>
        <v/>
      </c>
      <c r="F190" s="1"/>
      <c r="G190" s="1"/>
      <c r="H190" s="25" t="str">
        <f>IF('Audit Result'!C190 = "No", IF('Audit Result'!G190 = "x", "Closed", "Open"), "")</f>
        <v/>
      </c>
      <c r="I190" s="1"/>
      <c r="J190" s="1"/>
      <c r="K190" s="1"/>
    </row>
    <row r="191" spans="1:11" ht="72" x14ac:dyDescent="0.3">
      <c r="A191" s="25" t="str">
        <f>'CL - IFA v6 Smart - AQ'!D195</f>
        <v>AQ-Smart 20.09.04</v>
      </c>
      <c r="B191" s="25" t="str">
        <f>'CL - IFA v6 Smart - AQ'!I195</f>
        <v>Major Must</v>
      </c>
      <c r="C191" s="25" t="str">
        <f>IF('CL - IFA v6 Smart - AQ'!M195 = 0,"",'CL - IFA v6 Smart - AQ'!M195)</f>
        <v>not answered/error</v>
      </c>
      <c r="D191" s="25" t="str">
        <f>IF('CL - IFA v6 Smart - AQ'!Q195 = 0, "",'CL - IFA v6 Smart - AQ'!Q195)</f>
        <v>Document identification (name/code, date/edition, etc.) of instructions of system/equipment failure notification:</v>
      </c>
      <c r="E191" s="26" t="str">
        <f>IF('CL - IFA v6 Smart - AQ'!R195 = 0,"",'CL - IFA v6 Smart - AQ'!R195)</f>
        <v/>
      </c>
      <c r="F191" s="1"/>
      <c r="G191" s="1"/>
      <c r="H191" s="25" t="str">
        <f>IF('Audit Result'!C191 = "No", IF('Audit Result'!G191 = "x", "Closed", "Open"), "")</f>
        <v/>
      </c>
      <c r="I191" s="1"/>
      <c r="J191" s="1"/>
      <c r="K191" s="1"/>
    </row>
    <row r="192" spans="1:11" x14ac:dyDescent="0.3">
      <c r="A192" s="25" t="str">
        <f>'CL - IFA v6 Smart - AQ'!D196</f>
        <v>AQ-Smart 20.09.05</v>
      </c>
      <c r="B192" s="25" t="str">
        <f>'CL - IFA v6 Smart - AQ'!I196</f>
        <v>Minor Must</v>
      </c>
      <c r="C192" s="25" t="str">
        <f>IF('CL - IFA v6 Smart - AQ'!M196 = 0,"",'CL - IFA v6 Smart - AQ'!M196)</f>
        <v>not answered/error</v>
      </c>
      <c r="D192" s="25" t="str">
        <f>IF('CL - IFA v6 Smart - AQ'!Q196 = 0, "",'CL - IFA v6 Smart - AQ'!Q196)</f>
        <v xml:space="preserve">Refer to AQ 20.02.14. </v>
      </c>
      <c r="E192" s="26" t="str">
        <f>IF('CL - IFA v6 Smart - AQ'!R196 = 0,"",'CL - IFA v6 Smart - AQ'!R196)</f>
        <v/>
      </c>
      <c r="F192" s="1"/>
      <c r="G192" s="1"/>
      <c r="H192" s="25" t="str">
        <f>IF('Audit Result'!C192 = "No", IF('Audit Result'!G192 = "x", "Closed", "Open"), "")</f>
        <v/>
      </c>
      <c r="I192" s="1"/>
      <c r="J192" s="1"/>
      <c r="K192" s="1"/>
    </row>
    <row r="193" spans="1:11" ht="230.4" x14ac:dyDescent="0.3">
      <c r="A193" s="25" t="str">
        <f>'CL - IFA v6 Smart - AQ'!D197</f>
        <v>AQ-Smart 21.01</v>
      </c>
      <c r="B193" s="25" t="str">
        <f>'CL - IFA v6 Smart - AQ'!I197</f>
        <v>Major Must</v>
      </c>
      <c r="C193" s="25" t="str">
        <f>IF('CL - IFA v6 Smart - AQ'!M197 = 0,"",'CL - IFA v6 Smart - AQ'!M197)</f>
        <v>not answered/error</v>
      </c>
      <c r="D193" s="25" t="str">
        <f>IF('CL - IFA v6 Smart - AQ'!Q197 = 0, "",'CL - IFA v6 Smart - AQ'!Q197)</f>
        <v xml:space="preserve">
Document  of list of substances and frequency analyzed name: XXXXXX, dated DD/MM/YY. Code XXX ; 
Frequency of analysis for each specie/feed is : XXX; 
Record any specie/feed for which risk assessment has concluded that NO analysis is necessary: XXXX (where applicable);
Record any active ingredient  NOT covered by MRL Test : XXX (where applicable) </v>
      </c>
      <c r="E193" s="26" t="str">
        <f>IF('CL - IFA v6 Smart - AQ'!R197 = 0,"",'CL - IFA v6 Smart - AQ'!R197)</f>
        <v/>
      </c>
      <c r="F193" s="1"/>
      <c r="G193" s="1"/>
      <c r="H193" s="25" t="str">
        <f>IF('Audit Result'!C193 = "No", IF('Audit Result'!G193 = "x", "Closed", "Open"), "")</f>
        <v/>
      </c>
      <c r="I193" s="1"/>
      <c r="J193" s="1"/>
      <c r="K193" s="1"/>
    </row>
    <row r="194" spans="1:11" ht="129.6" x14ac:dyDescent="0.3">
      <c r="A194" s="25" t="str">
        <f>'CL - IFA v6 Smart - AQ'!D198</f>
        <v>AQ-Smart 21.02</v>
      </c>
      <c r="B194" s="25" t="str">
        <f>'CL - IFA v6 Smart - AQ'!I198</f>
        <v>Major Must</v>
      </c>
      <c r="C194" s="25" t="str">
        <f>IF('CL - IFA v6 Smart - AQ'!M198 = 0,"",'CL - IFA v6 Smart - AQ'!M198)</f>
        <v>not answered/error</v>
      </c>
      <c r="D194" s="25" t="str">
        <f>IF('CL - IFA v6 Smart - AQ'!Q198 = 0, "",'CL - IFA v6 Smart - AQ'!Q198)</f>
        <v xml:space="preserve">
Accreditation of the Laboratory used:
1)Water analysis: Laboratory name: XXXX - Accreediation: XXX .
2)MRL Test Laboratory name: XXXX - Accreediation: XX</v>
      </c>
      <c r="E194" s="26" t="str">
        <f>IF('CL - IFA v6 Smart - AQ'!R198 = 0,"",'CL - IFA v6 Smart - AQ'!R198)</f>
        <v/>
      </c>
      <c r="F194" s="1"/>
      <c r="G194" s="1"/>
      <c r="H194" s="25" t="str">
        <f>IF('Audit Result'!C194 = "No", IF('Audit Result'!G194 = "x", "Closed", "Open"), "")</f>
        <v/>
      </c>
      <c r="I194" s="1"/>
      <c r="J194" s="1"/>
      <c r="K194" s="1"/>
    </row>
    <row r="195" spans="1:11" ht="144" x14ac:dyDescent="0.3">
      <c r="A195" s="25" t="str">
        <f>'CL - IFA v6 Smart - AQ'!D199</f>
        <v>AQ-Smart 21.03</v>
      </c>
      <c r="B195" s="25" t="str">
        <f>'CL - IFA v6 Smart - AQ'!I199</f>
        <v>Major Must</v>
      </c>
      <c r="C195" s="25" t="str">
        <f>IF('CL - IFA v6 Smart - AQ'!M199 = 0,"",'CL - IFA v6 Smart - AQ'!M199)</f>
        <v>not answered/error</v>
      </c>
      <c r="D195" s="25" t="str">
        <f>IF('CL - IFA v6 Smart - AQ'!Q199 = 0, "",'CL - IFA v6 Smart - AQ'!Q199)</f>
        <v>Document identification (name/code, date/edition, etc.) of example of laboratory used related to specific batch or production units' ID:
test report number xxxx  date xxxx product xxx batch/production units' ID xxxx</v>
      </c>
      <c r="E195" s="26" t="str">
        <f>IF('CL - IFA v6 Smart - AQ'!R199 = 0,"",'CL - IFA v6 Smart - AQ'!R199)</f>
        <v/>
      </c>
      <c r="F195" s="1"/>
      <c r="G195" s="1"/>
      <c r="H195" s="25" t="str">
        <f>IF('Audit Result'!C195 = "No", IF('Audit Result'!G195 = "x", "Closed", "Open"), "")</f>
        <v/>
      </c>
      <c r="I195" s="1"/>
      <c r="J195" s="1"/>
      <c r="K195" s="1"/>
    </row>
    <row r="196" spans="1:11" x14ac:dyDescent="0.3">
      <c r="A196" s="25" t="str">
        <f>'CL - IFA v6 Smart - AQ'!D200</f>
        <v>AQ-Smart 22.01.01</v>
      </c>
      <c r="B196" s="25" t="str">
        <f>'CL - IFA v6 Smart - AQ'!I200</f>
        <v>Major Must</v>
      </c>
      <c r="C196" s="25" t="str">
        <f>IF('CL - IFA v6 Smart - AQ'!M200 = 0,"",'CL - IFA v6 Smart - AQ'!M200)</f>
        <v>not answered/error</v>
      </c>
      <c r="D196" s="25" t="str">
        <f>IF('CL - IFA v6 Smart - AQ'!Q200 = 0, "",'CL - IFA v6 Smart - AQ'!Q200)</f>
        <v>Refer to AQ 22.02.03.</v>
      </c>
      <c r="E196" s="26" t="str">
        <f>IF('CL - IFA v6 Smart - AQ'!R200 = 0,"",'CL - IFA v6 Smart - AQ'!R200)</f>
        <v/>
      </c>
      <c r="F196" s="1"/>
      <c r="G196" s="1"/>
      <c r="H196" s="25" t="str">
        <f>IF('Audit Result'!C196 = "No", IF('Audit Result'!G196 = "x", "Closed", "Open"), "")</f>
        <v/>
      </c>
      <c r="I196" s="1"/>
      <c r="J196" s="1"/>
      <c r="K196" s="1"/>
    </row>
    <row r="197" spans="1:11" ht="201.6" x14ac:dyDescent="0.3">
      <c r="A197" s="25" t="str">
        <f>'CL - IFA v6 Smart - AQ'!D201</f>
        <v>AQ-Smart 22.01.02</v>
      </c>
      <c r="B197" s="25" t="str">
        <f>'CL - IFA v6 Smart - AQ'!I201</f>
        <v>Major Must</v>
      </c>
      <c r="C197" s="25" t="str">
        <f>IF('CL - IFA v6 Smart - AQ'!M201 = 0,"",'CL - IFA v6 Smart - AQ'!M201)</f>
        <v>not answered/error</v>
      </c>
      <c r="D197" s="25" t="str">
        <f>IF('CL - IFA v6 Smart - AQ'!Q201 = 0, "",'CL - IFA v6 Smart - AQ'!Q201)</f>
        <v xml:space="preserve">Names and GGNs of internal/external of feed suppliers.
Compound feed supplier recognized through option iii: yes/no?
If yes, name of supplier, feed safety scheme certificate, and evidence of compliance of GLOBALG.A.P. CFM v3.1 section A5 and section B and C. </v>
      </c>
      <c r="E197" s="26" t="str">
        <f>IF('CL - IFA v6 Smart - AQ'!R201 = 0,"",'CL - IFA v6 Smart - AQ'!R201)</f>
        <v/>
      </c>
      <c r="F197" s="1"/>
      <c r="G197" s="1"/>
      <c r="H197" s="25" t="str">
        <f>IF('Audit Result'!C197 = "No", IF('Audit Result'!G197 = "x", "Closed", "Open"), "")</f>
        <v/>
      </c>
      <c r="I197" s="1"/>
      <c r="J197" s="1"/>
      <c r="K197" s="1"/>
    </row>
    <row r="198" spans="1:11" ht="57.6" x14ac:dyDescent="0.3">
      <c r="A198" s="25" t="str">
        <f>'CL - IFA v6 Smart - AQ'!D202</f>
        <v>AQ-Smart 22.01.03</v>
      </c>
      <c r="B198" s="25" t="str">
        <f>'CL - IFA v6 Smart - AQ'!I202</f>
        <v>Major Must</v>
      </c>
      <c r="C198" s="25" t="str">
        <f>IF('CL - IFA v6 Smart - AQ'!M202 = 0,"",'CL - IFA v6 Smart - AQ'!M202)</f>
        <v>not answered/error</v>
      </c>
      <c r="D198" s="25" t="str">
        <f>IF('CL - IFA v6 Smart - AQ'!Q202 = 0, "",'CL - IFA v6 Smart - AQ'!Q202)</f>
        <v>Document identification (name/code , date/edition, etc.) of internal/external supply: XXX</v>
      </c>
      <c r="E198" s="26" t="str">
        <f>IF('CL - IFA v6 Smart - AQ'!R202 = 0,"",'CL - IFA v6 Smart - AQ'!R202)</f>
        <v/>
      </c>
      <c r="F198" s="1"/>
      <c r="G198" s="1"/>
      <c r="H198" s="25" t="str">
        <f>IF('Audit Result'!C198 = "No", IF('Audit Result'!G198 = "x", "Closed", "Open"), "")</f>
        <v/>
      </c>
      <c r="I198" s="1"/>
      <c r="J198" s="1"/>
      <c r="K198" s="1"/>
    </row>
    <row r="199" spans="1:11" ht="72" x14ac:dyDescent="0.3">
      <c r="A199" s="25" t="str">
        <f>'CL - IFA v6 Smart - AQ'!D203</f>
        <v>AQ-Smart 22.01.04</v>
      </c>
      <c r="B199" s="25" t="str">
        <f>'CL - IFA v6 Smart - AQ'!I203</f>
        <v>Major Must</v>
      </c>
      <c r="C199" s="25" t="str">
        <f>IF('CL - IFA v6 Smart - AQ'!M203 = 0,"",'CL - IFA v6 Smart - AQ'!M203)</f>
        <v>not answered/error</v>
      </c>
      <c r="D199" s="25" t="str">
        <f>IF('CL - IFA v6 Smart - AQ'!Q203 = 0, "",'CL - IFA v6 Smart - AQ'!Q203)</f>
        <v>Document identification (name/code, date/edition, etc.) of protein sources related to species specific:XXX</v>
      </c>
      <c r="E199" s="26" t="str">
        <f>IF('CL - IFA v6 Smart - AQ'!R203 = 0,"",'CL - IFA v6 Smart - AQ'!R203)</f>
        <v/>
      </c>
      <c r="F199" s="1"/>
      <c r="G199" s="1"/>
      <c r="H199" s="25" t="str">
        <f>IF('Audit Result'!C199 = "No", IF('Audit Result'!G199 = "x", "Closed", "Open"), "")</f>
        <v/>
      </c>
      <c r="I199" s="1"/>
      <c r="J199" s="1"/>
      <c r="K199" s="1"/>
    </row>
    <row r="200" spans="1:11" ht="57.6" x14ac:dyDescent="0.3">
      <c r="A200" s="25" t="str">
        <f>'CL - IFA v6 Smart - AQ'!D204</f>
        <v>AQ-Smart 22.02.01</v>
      </c>
      <c r="B200" s="25" t="str">
        <f>'CL - IFA v6 Smart - AQ'!I204</f>
        <v>Major Must</v>
      </c>
      <c r="C200" s="25" t="str">
        <f>IF('CL - IFA v6 Smart - AQ'!M204 = 0,"",'CL - IFA v6 Smart - AQ'!M204)</f>
        <v>not answered/error</v>
      </c>
      <c r="D200" s="25" t="str">
        <f>IF('CL - IFA v6 Smart - AQ'!Q204 = 0, "",'CL - IFA v6 Smart - AQ'!Q204)</f>
        <v>Document identification (name/code, date/edition, etc.) of example taken at a site audited:XXX</v>
      </c>
      <c r="E200" s="26" t="str">
        <f>IF('CL - IFA v6 Smart - AQ'!R204 = 0,"",'CL - IFA v6 Smart - AQ'!R204)</f>
        <v/>
      </c>
      <c r="F200" s="1"/>
      <c r="G200" s="1"/>
      <c r="H200" s="25" t="str">
        <f>IF('Audit Result'!C200 = "No", IF('Audit Result'!G200 = "x", "Closed", "Open"), "")</f>
        <v/>
      </c>
      <c r="I200" s="1"/>
      <c r="J200" s="1"/>
      <c r="K200" s="1"/>
    </row>
    <row r="201" spans="1:11" ht="57.6" x14ac:dyDescent="0.3">
      <c r="A201" s="25" t="str">
        <f>'CL - IFA v6 Smart - AQ'!D205</f>
        <v>AQ-Smart 22.02.02</v>
      </c>
      <c r="B201" s="25" t="str">
        <f>'CL - IFA v6 Smart - AQ'!I205</f>
        <v>Major Must</v>
      </c>
      <c r="C201" s="25" t="str">
        <f>IF('CL - IFA v6 Smart - AQ'!M205 = 0,"",'CL - IFA v6 Smart - AQ'!M205)</f>
        <v>not answered/error</v>
      </c>
      <c r="D201" s="25" t="str">
        <f>IF('CL - IFA v6 Smart - AQ'!Q205 = 0, "",'CL - IFA v6 Smart - AQ'!Q205)</f>
        <v>Document identification (name/code, date/edition, etc.) of example taken at a site audited:XXX</v>
      </c>
      <c r="E201" s="26" t="str">
        <f>IF('CL - IFA v6 Smart - AQ'!R205 = 0,"",'CL - IFA v6 Smart - AQ'!R205)</f>
        <v/>
      </c>
      <c r="F201" s="1"/>
      <c r="G201" s="1"/>
      <c r="H201" s="25" t="str">
        <f>IF('Audit Result'!C201 = "No", IF('Audit Result'!G201 = "x", "Closed", "Open"), "")</f>
        <v/>
      </c>
      <c r="I201" s="1"/>
      <c r="J201" s="1"/>
      <c r="K201" s="1"/>
    </row>
    <row r="202" spans="1:11" ht="57.6" x14ac:dyDescent="0.3">
      <c r="A202" s="25" t="str">
        <f>'CL - IFA v6 Smart - AQ'!D206</f>
        <v>AQ-Smart 22.02.03</v>
      </c>
      <c r="B202" s="25" t="str">
        <f>'CL - IFA v6 Smart - AQ'!I206</f>
        <v>Major Must</v>
      </c>
      <c r="C202" s="25" t="str">
        <f>IF('CL - IFA v6 Smart - AQ'!M206 = 0,"",'CL - IFA v6 Smart - AQ'!M206)</f>
        <v>not answered/error</v>
      </c>
      <c r="D202" s="25" t="str">
        <f>IF('CL - IFA v6 Smart - AQ'!Q206 = 0, "",'CL - IFA v6 Smart - AQ'!Q206)</f>
        <v>Average fish meal and fish oil percentage.
The fish-in/fish-out ratio.</v>
      </c>
      <c r="E202" s="26" t="str">
        <f>IF('CL - IFA v6 Smart - AQ'!R206 = 0,"",'CL - IFA v6 Smart - AQ'!R206)</f>
        <v/>
      </c>
      <c r="F202" s="1"/>
      <c r="G202" s="1"/>
      <c r="H202" s="25" t="str">
        <f>IF('Audit Result'!C202 = "No", IF('Audit Result'!G202 = "x", "Closed", "Open"), "")</f>
        <v/>
      </c>
      <c r="I202" s="1"/>
      <c r="J202" s="1"/>
      <c r="K202" s="1"/>
    </row>
    <row r="203" spans="1:11" x14ac:dyDescent="0.3">
      <c r="A203" s="25" t="str">
        <f>'CL - IFA v6 Smart - AQ'!D207</f>
        <v>AQ-Smart 22.02.04</v>
      </c>
      <c r="B203" s="25" t="str">
        <f>'CL - IFA v6 Smart - AQ'!I207</f>
        <v>Major Must</v>
      </c>
      <c r="C203" s="25" t="str">
        <f>IF('CL - IFA v6 Smart - AQ'!M207 = 0,"",'CL - IFA v6 Smart - AQ'!M207)</f>
        <v>not answered/error</v>
      </c>
      <c r="D203" s="25" t="str">
        <f>IF('CL - IFA v6 Smart - AQ'!Q207 = 0, "",'CL - IFA v6 Smart - AQ'!Q207)</f>
        <v/>
      </c>
      <c r="E203" s="26" t="str">
        <f>IF('CL - IFA v6 Smart - AQ'!R207 = 0,"",'CL - IFA v6 Smart - AQ'!R207)</f>
        <v/>
      </c>
      <c r="F203" s="1"/>
      <c r="G203" s="1"/>
      <c r="H203" s="25" t="str">
        <f>IF('Audit Result'!C203 = "No", IF('Audit Result'!G203 = "x", "Closed", "Open"), "")</f>
        <v/>
      </c>
      <c r="I203" s="1"/>
      <c r="J203" s="1"/>
      <c r="K203" s="1"/>
    </row>
    <row r="204" spans="1:11" ht="28.8" x14ac:dyDescent="0.3">
      <c r="A204" s="25" t="str">
        <f>'CL - IFA v6 Smart - AQ'!D208</f>
        <v>AQ-Smart 22.02.05</v>
      </c>
      <c r="B204" s="25" t="str">
        <f>'CL - IFA v6 Smart - AQ'!I208</f>
        <v>Major Must</v>
      </c>
      <c r="C204" s="25" t="str">
        <f>IF('CL - IFA v6 Smart - AQ'!M208 = 0,"",'CL - IFA v6 Smart - AQ'!M208)</f>
        <v>not answered/error</v>
      </c>
      <c r="D204" s="25" t="str">
        <f>IF('CL - IFA v6 Smart - AQ'!Q208 = 0, "",'CL - IFA v6 Smart - AQ'!Q208)</f>
        <v>At least one value of eFCR per production life cycle.</v>
      </c>
      <c r="E204" s="26" t="str">
        <f>IF('CL - IFA v6 Smart - AQ'!R208 = 0,"",'CL - IFA v6 Smart - AQ'!R208)</f>
        <v/>
      </c>
      <c r="F204" s="1"/>
      <c r="G204" s="1"/>
      <c r="H204" s="25" t="str">
        <f>IF('Audit Result'!C204 = "No", IF('Audit Result'!G204 = "x", "Closed", "Open"), "")</f>
        <v/>
      </c>
      <c r="I204" s="1"/>
      <c r="J204" s="1"/>
      <c r="K204" s="1"/>
    </row>
    <row r="205" spans="1:11" ht="115.2" x14ac:dyDescent="0.3">
      <c r="A205" s="25" t="str">
        <f>'CL - IFA v6 Smart - AQ'!D209</f>
        <v>AQ-Smart 22.02.06</v>
      </c>
      <c r="B205" s="25" t="str">
        <f>'CL - IFA v6 Smart - AQ'!I209</f>
        <v>Major Must</v>
      </c>
      <c r="C205" s="25" t="str">
        <f>IF('CL - IFA v6 Smart - AQ'!M209 = 0,"",'CL - IFA v6 Smart - AQ'!M209)</f>
        <v>not answered/error</v>
      </c>
      <c r="D205" s="25" t="str">
        <f>IF('CL - IFA v6 Smart - AQ'!Q209 = 0, "",'CL - IFA v6 Smart - AQ'!Q209)</f>
        <v>Samples of feed are taken and kept by the farm. 
Or
Samples of feed are taken and kept by the feed supplier.</v>
      </c>
      <c r="E205" s="26" t="str">
        <f>IF('CL - IFA v6 Smart - AQ'!R209 = 0,"",'CL - IFA v6 Smart - AQ'!R209)</f>
        <v/>
      </c>
      <c r="F205" s="1"/>
      <c r="G205" s="1"/>
      <c r="H205" s="25" t="str">
        <f>IF('Audit Result'!C205 = "No", IF('Audit Result'!G205 = "x", "Closed", "Open"), "")</f>
        <v/>
      </c>
      <c r="I205" s="1"/>
      <c r="J205" s="1"/>
      <c r="K205" s="1"/>
    </row>
    <row r="206" spans="1:11" x14ac:dyDescent="0.3">
      <c r="A206" s="25" t="str">
        <f>'CL - IFA v6 Smart - AQ'!D210</f>
        <v>AQ-Smart 22.03.01</v>
      </c>
      <c r="B206" s="25" t="str">
        <f>'CL - IFA v6 Smart - AQ'!I210</f>
        <v>Major Must</v>
      </c>
      <c r="C206" s="25" t="str">
        <f>IF('CL - IFA v6 Smart - AQ'!M210 = 0,"",'CL - IFA v6 Smart - AQ'!M210)</f>
        <v>not answered/error</v>
      </c>
      <c r="D206" s="25" t="str">
        <f>IF('CL - IFA v6 Smart - AQ'!Q210 = 0, "",'CL - IFA v6 Smart - AQ'!Q210)</f>
        <v/>
      </c>
      <c r="E206" s="26" t="str">
        <f>IF('CL - IFA v6 Smart - AQ'!R210 = 0,"",'CL - IFA v6 Smart - AQ'!R210)</f>
        <v/>
      </c>
      <c r="F206" s="1"/>
      <c r="G206" s="1"/>
      <c r="H206" s="25" t="str">
        <f>IF('Audit Result'!C206 = "No", IF('Audit Result'!G206 = "x", "Closed", "Open"), "")</f>
        <v/>
      </c>
      <c r="I206" s="1"/>
      <c r="J206" s="1"/>
      <c r="K206" s="1"/>
    </row>
    <row r="207" spans="1:11" ht="57.6" x14ac:dyDescent="0.3">
      <c r="A207" s="25" t="str">
        <f>'CL - IFA v6 Smart - AQ'!D211</f>
        <v>AQ-Smart 22.03.02</v>
      </c>
      <c r="B207" s="25" t="str">
        <f>'CL - IFA v6 Smart - AQ'!I211</f>
        <v>Major Must</v>
      </c>
      <c r="C207" s="25" t="str">
        <f>IF('CL - IFA v6 Smart - AQ'!M211 = 0,"",'CL - IFA v6 Smart - AQ'!M211)</f>
        <v>not answered/error</v>
      </c>
      <c r="D207" s="25" t="str">
        <f>IF('CL - IFA v6 Smart - AQ'!Q211 = 0, "",'CL - IFA v6 Smart - AQ'!Q211)</f>
        <v>Document identification (name/code, date/edition, etc.) of storage instructions:XXX</v>
      </c>
      <c r="E207" s="26" t="str">
        <f>IF('CL - IFA v6 Smart - AQ'!R211 = 0,"",'CL - IFA v6 Smart - AQ'!R211)</f>
        <v/>
      </c>
      <c r="F207" s="1"/>
      <c r="G207" s="1"/>
      <c r="H207" s="25" t="str">
        <f>IF('Audit Result'!C207 = "No", IF('Audit Result'!G207 = "x", "Closed", "Open"), "")</f>
        <v/>
      </c>
      <c r="I207" s="1"/>
      <c r="J207" s="1"/>
      <c r="K207" s="1"/>
    </row>
    <row r="208" spans="1:11" ht="86.4" x14ac:dyDescent="0.3">
      <c r="A208" s="25" t="str">
        <f>'CL - IFA v6 Smart - AQ'!D212</f>
        <v>AQ-Smart 22.03.03</v>
      </c>
      <c r="B208" s="25" t="str">
        <f>'CL - IFA v6 Smart - AQ'!I212</f>
        <v>Major Must</v>
      </c>
      <c r="C208" s="25" t="str">
        <f>IF('CL - IFA v6 Smart - AQ'!M212 = 0,"",'CL - IFA v6 Smart - AQ'!M212)</f>
        <v>not answered/error</v>
      </c>
      <c r="D208" s="25" t="str">
        <f>IF('CL - IFA v6 Smart - AQ'!Q212 = 0, "",'CL - IFA v6 Smart - AQ'!Q212)</f>
        <v>Document identification (name/code, date/edition, etc.) of instructions on how to deal with contaminated feed, excess medicated feed, and flushed feed:XXX</v>
      </c>
      <c r="E208" s="26" t="str">
        <f>IF('CL - IFA v6 Smart - AQ'!R212 = 0,"",'CL - IFA v6 Smart - AQ'!R212)</f>
        <v/>
      </c>
      <c r="F208" s="1"/>
      <c r="G208" s="1"/>
      <c r="H208" s="25" t="str">
        <f>IF('Audit Result'!C208 = "No", IF('Audit Result'!G208 = "x", "Closed", "Open"), "")</f>
        <v/>
      </c>
      <c r="I208" s="1"/>
      <c r="J208" s="1"/>
      <c r="K208" s="1"/>
    </row>
    <row r="209" spans="1:11" x14ac:dyDescent="0.3">
      <c r="A209" s="25" t="str">
        <f>'CL - IFA v6 Smart - AQ'!D213</f>
        <v>AQ-Smart 22.03.04</v>
      </c>
      <c r="B209" s="25" t="str">
        <f>'CL - IFA v6 Smart - AQ'!I213</f>
        <v>Major Must</v>
      </c>
      <c r="C209" s="25" t="str">
        <f>IF('CL - IFA v6 Smart - AQ'!M213 = 0,"",'CL - IFA v6 Smart - AQ'!M213)</f>
        <v>not answered/error</v>
      </c>
      <c r="D209" s="25" t="str">
        <f>IF('CL - IFA v6 Smart - AQ'!Q213 = 0, "",'CL - IFA v6 Smart - AQ'!Q213)</f>
        <v/>
      </c>
      <c r="E209" s="26" t="str">
        <f>IF('CL - IFA v6 Smart - AQ'!R213 = 0,"",'CL - IFA v6 Smart - AQ'!R213)</f>
        <v/>
      </c>
      <c r="F209" s="1"/>
      <c r="G209" s="1"/>
      <c r="H209" s="25" t="str">
        <f>IF('Audit Result'!C209 = "No", IF('Audit Result'!G209 = "x", "Closed", "Open"), "")</f>
        <v/>
      </c>
      <c r="I209" s="1"/>
      <c r="J209" s="1"/>
      <c r="K209" s="1"/>
    </row>
    <row r="210" spans="1:11" ht="43.2" x14ac:dyDescent="0.3">
      <c r="A210" s="25" t="str">
        <f>'CL - IFA v6 Smart - AQ'!D214</f>
        <v>AQ-Smart 23.01</v>
      </c>
      <c r="B210" s="25" t="str">
        <f>'CL - IFA v6 Smart - AQ'!I214</f>
        <v>Major Must</v>
      </c>
      <c r="C210" s="25" t="str">
        <f>IF('CL - IFA v6 Smart - AQ'!M214 = 0,"",'CL - IFA v6 Smart - AQ'!M214)</f>
        <v>not answered/error</v>
      </c>
      <c r="D210" s="25" t="str">
        <f>IF('CL - IFA v6 Smart - AQ'!Q214 = 0, "",'CL - IFA v6 Smart - AQ'!Q214)</f>
        <v>Refer to AQ 01.01.01. 
Subcontractor used: yes/no? If yes, refer to AQ 05.01.</v>
      </c>
      <c r="E210" s="26" t="str">
        <f>IF('CL - IFA v6 Smart - AQ'!R214 = 0,"",'CL - IFA v6 Smart - AQ'!R214)</f>
        <v/>
      </c>
      <c r="F210" s="1"/>
      <c r="G210" s="1"/>
      <c r="H210" s="25" t="str">
        <f>IF('Audit Result'!C210 = "No", IF('Audit Result'!G210 = "x", "Closed", "Open"), "")</f>
        <v/>
      </c>
      <c r="I210" s="1"/>
      <c r="J210" s="1"/>
      <c r="K210" s="1"/>
    </row>
    <row r="211" spans="1:11" ht="57.6" x14ac:dyDescent="0.3">
      <c r="A211" s="25" t="str">
        <f>'CL - IFA v6 Smart - AQ'!D215</f>
        <v>AQ-Smart 24.01.01</v>
      </c>
      <c r="B211" s="25" t="str">
        <f>'CL - IFA v6 Smart - AQ'!I215</f>
        <v>Major Must</v>
      </c>
      <c r="C211" s="25" t="str">
        <f>IF('CL - IFA v6 Smart - AQ'!M215 = 0,"",'CL - IFA v6 Smart - AQ'!M215)</f>
        <v>not answered/error</v>
      </c>
      <c r="D211" s="25" t="str">
        <f>IF('CL - IFA v6 Smart - AQ'!Q215 = 0, "",'CL - IFA v6 Smart - AQ'!Q215)</f>
        <v>Document identification (name/code, date/edition, etc.) of harvest and transport instructions: XXX</v>
      </c>
      <c r="E211" s="26" t="str">
        <f>IF('CL - IFA v6 Smart - AQ'!R215 = 0,"",'CL - IFA v6 Smart - AQ'!R215)</f>
        <v/>
      </c>
      <c r="F211" s="1"/>
      <c r="G211" s="1"/>
      <c r="H211" s="25" t="str">
        <f>IF('Audit Result'!C211 = "No", IF('Audit Result'!G211 = "x", "Closed", "Open"), "")</f>
        <v/>
      </c>
      <c r="I211" s="1"/>
      <c r="J211" s="1"/>
      <c r="K211" s="1"/>
    </row>
    <row r="212" spans="1:11" ht="72" x14ac:dyDescent="0.3">
      <c r="A212" s="25" t="str">
        <f>'CL - IFA v6 Smart - AQ'!D216</f>
        <v>AQ-Smart 24.01.02</v>
      </c>
      <c r="B212" s="25" t="str">
        <f>'CL - IFA v6 Smart - AQ'!I216</f>
        <v>Major Must</v>
      </c>
      <c r="C212" s="25" t="str">
        <f>IF('CL - IFA v6 Smart - AQ'!M216 = 0,"",'CL - IFA v6 Smart - AQ'!M216)</f>
        <v>not answered/error</v>
      </c>
      <c r="D212" s="25" t="str">
        <f>IF('CL - IFA v6 Smart - AQ'!Q216 = 0, "",'CL - IFA v6 Smart - AQ'!Q216)</f>
        <v>Document identification (name/code, date/edition, etc.) of cleaning records of an example of transport taken during the audit: XXX</v>
      </c>
      <c r="E212" s="26" t="str">
        <f>IF('CL - IFA v6 Smart - AQ'!R216 = 0,"",'CL - IFA v6 Smart - AQ'!R216)</f>
        <v/>
      </c>
      <c r="F212" s="1"/>
      <c r="G212" s="1"/>
      <c r="H212" s="25" t="str">
        <f>IF('Audit Result'!C212 = "No", IF('Audit Result'!G212 = "x", "Closed", "Open"), "")</f>
        <v/>
      </c>
      <c r="I212" s="1"/>
      <c r="J212" s="1"/>
      <c r="K212" s="1"/>
    </row>
    <row r="213" spans="1:11" ht="86.4" x14ac:dyDescent="0.3">
      <c r="A213" s="25" t="str">
        <f>'CL - IFA v6 Smart - AQ'!D217</f>
        <v>AQ-Smart 24.01.03</v>
      </c>
      <c r="B213" s="25" t="str">
        <f>'CL - IFA v6 Smart - AQ'!I217</f>
        <v>Major Must</v>
      </c>
      <c r="C213" s="25" t="str">
        <f>IF('CL - IFA v6 Smart - AQ'!M217 = 0,"",'CL - IFA v6 Smart - AQ'!M217)</f>
        <v>not answered/error</v>
      </c>
      <c r="D213" s="25" t="str">
        <f>IF('CL - IFA v6 Smart - AQ'!Q217 = 0, "",'CL - IFA v6 Smart - AQ'!Q217)</f>
        <v>Document identification (name/code, date/edition, etc.) of temperature records, as an example, linked to a specific biomass batch and/or site: XXX</v>
      </c>
      <c r="E213" s="26" t="str">
        <f>IF('CL - IFA v6 Smart - AQ'!R217 = 0,"",'CL - IFA v6 Smart - AQ'!R217)</f>
        <v/>
      </c>
      <c r="F213" s="1"/>
      <c r="G213" s="1"/>
      <c r="H213" s="25" t="str">
        <f>IF('Audit Result'!C213 = "No", IF('Audit Result'!G213 = "x", "Closed", "Open"), "")</f>
        <v/>
      </c>
      <c r="I213" s="1"/>
      <c r="J213" s="1"/>
      <c r="K213" s="1"/>
    </row>
    <row r="214" spans="1:11" ht="86.4" x14ac:dyDescent="0.3">
      <c r="A214" s="25" t="str">
        <f>'CL - IFA v6 Smart - AQ'!D218</f>
        <v>AQ-Smart 24.01.04</v>
      </c>
      <c r="B214" s="25" t="str">
        <f>'CL - IFA v6 Smart - AQ'!I218</f>
        <v>Major Must</v>
      </c>
      <c r="C214" s="25" t="str">
        <f>IF('CL - IFA v6 Smart - AQ'!M218 = 0,"",'CL - IFA v6 Smart - AQ'!M218)</f>
        <v>not answered/error</v>
      </c>
      <c r="D214" s="25" t="str">
        <f>IF('CL - IFA v6 Smart - AQ'!Q218 = 0, "",'CL - IFA v6 Smart - AQ'!Q218)</f>
        <v>Document identification (name/code, date/edition, etc.) of water analysis (water used to make ice): test report number XXXX date XXX</v>
      </c>
      <c r="E214" s="26" t="str">
        <f>IF('CL - IFA v6 Smart - AQ'!R218 = 0,"",'CL - IFA v6 Smart - AQ'!R218)</f>
        <v/>
      </c>
      <c r="F214" s="1"/>
      <c r="G214" s="1"/>
      <c r="H214" s="25" t="str">
        <f>IF('Audit Result'!C214 = "No", IF('Audit Result'!G214 = "x", "Closed", "Open"), "")</f>
        <v/>
      </c>
      <c r="I214" s="1"/>
      <c r="J214" s="1"/>
      <c r="K214" s="1"/>
    </row>
    <row r="215" spans="1:11" ht="57.6" x14ac:dyDescent="0.3">
      <c r="A215" s="25" t="str">
        <f>'CL - IFA v6 Smart - AQ'!D219</f>
        <v>AQ-Smart 24.02.01</v>
      </c>
      <c r="B215" s="25" t="str">
        <f>'CL - IFA v6 Smart - AQ'!I219</f>
        <v>Major Must</v>
      </c>
      <c r="C215" s="25" t="str">
        <f>IF('CL - IFA v6 Smart - AQ'!M219 = 0,"",'CL - IFA v6 Smart - AQ'!M219)</f>
        <v>not answered/error</v>
      </c>
      <c r="D215" s="25" t="str">
        <f>IF('CL - IFA v6 Smart - AQ'!Q219 = 0, "",'CL - IFA v6 Smart - AQ'!Q219)</f>
        <v>Document identification (name/code, date/edition, etc.) of traceability example: XXX</v>
      </c>
      <c r="E215" s="26" t="str">
        <f>IF('CL - IFA v6 Smart - AQ'!R219 = 0,"",'CL - IFA v6 Smart - AQ'!R219)</f>
        <v/>
      </c>
      <c r="F215" s="1"/>
      <c r="G215" s="1"/>
      <c r="H215" s="25" t="str">
        <f>IF('Audit Result'!C215 = "No", IF('Audit Result'!G215 = "x", "Closed", "Open"), "")</f>
        <v/>
      </c>
      <c r="I215" s="1"/>
      <c r="J215" s="1"/>
      <c r="K215" s="1"/>
    </row>
    <row r="216" spans="1:11" ht="57.6" x14ac:dyDescent="0.3">
      <c r="A216" s="25" t="str">
        <f>'CL - IFA v6 Smart - AQ'!D220</f>
        <v>AQ-Smart 24.02.02</v>
      </c>
      <c r="B216" s="25" t="str">
        <f>'CL - IFA v6 Smart - AQ'!I220</f>
        <v>Major Must</v>
      </c>
      <c r="C216" s="25" t="str">
        <f>IF('CL - IFA v6 Smart - AQ'!M220 = 0,"",'CL - IFA v6 Smart - AQ'!M220)</f>
        <v>not answered/error</v>
      </c>
      <c r="D216" s="25" t="str">
        <f>IF('CL - IFA v6 Smart - AQ'!Q220 = 0, "",'CL - IFA v6 Smart - AQ'!Q220)</f>
        <v>Document identification (name/code, date/edition, etc.) of traceability example: specie:xxx, batch:xxx etc...</v>
      </c>
      <c r="E216" s="26" t="str">
        <f>IF('CL - IFA v6 Smart - AQ'!R220 = 0,"",'CL - IFA v6 Smart - AQ'!R220)</f>
        <v/>
      </c>
      <c r="F216" s="1"/>
      <c r="G216" s="1"/>
      <c r="H216" s="25" t="str">
        <f>IF('Audit Result'!C216 = "No", IF('Audit Result'!G216 = "x", "Closed", "Open"), "")</f>
        <v/>
      </c>
      <c r="I216" s="1"/>
      <c r="J216" s="1"/>
      <c r="K216" s="1"/>
    </row>
    <row r="217" spans="1:11" ht="201.6" x14ac:dyDescent="0.3">
      <c r="A217" s="25" t="str">
        <f>'CL - IFA v6 Smart - AQ'!D221</f>
        <v>AQ-Smart 25.01.01</v>
      </c>
      <c r="B217" s="25" t="str">
        <f>'CL - IFA v6 Smart - AQ'!I221</f>
        <v>Major Must</v>
      </c>
      <c r="C217" s="25" t="str">
        <f>IF('CL - IFA v6 Smart - AQ'!M221 = 0,"",'CL - IFA v6 Smart - AQ'!M221)</f>
        <v>not answered/error</v>
      </c>
      <c r="D217" s="25" t="str">
        <f>IF('CL - IFA v6 Smart - AQ'!Q221 = 0, "",'CL - IFA v6 Smart - AQ'!Q221)</f>
        <v>Refer to AQ 04.02.04. 
If performed by subcontractors: 
Document identification (name/code, date/edition, etc.) of the internal description of animal health and welfare indicators: XXX
Document identification (name/code, date/edition, etc.) of evidence of training: XXX</v>
      </c>
      <c r="E217" s="26" t="str">
        <f>IF('CL - IFA v6 Smart - AQ'!R221 = 0,"",'CL - IFA v6 Smart - AQ'!R221)</f>
        <v/>
      </c>
      <c r="F217" s="1"/>
      <c r="G217" s="1"/>
      <c r="H217" s="25" t="str">
        <f>IF('Audit Result'!C217 = "No", IF('Audit Result'!G217 = "x", "Closed", "Open"), "")</f>
        <v/>
      </c>
      <c r="I217" s="1"/>
      <c r="J217" s="1"/>
      <c r="K217" s="1"/>
    </row>
    <row r="218" spans="1:11" ht="201.6" x14ac:dyDescent="0.3">
      <c r="A218" s="25" t="str">
        <f>'CL - IFA v6 Smart - AQ'!D222</f>
        <v>AQ-Smart 25.01.02</v>
      </c>
      <c r="B218" s="25" t="str">
        <f>'CL - IFA v6 Smart - AQ'!I222</f>
        <v>Major Must</v>
      </c>
      <c r="C218" s="25" t="str">
        <f>IF('CL - IFA v6 Smart - AQ'!M222 = 0,"",'CL - IFA v6 Smart - AQ'!M222)</f>
        <v>not answered/error</v>
      </c>
      <c r="D218" s="25" t="str">
        <f>IF('CL - IFA v6 Smart - AQ'!Q222 = 0, "",'CL - IFA v6 Smart - AQ'!Q222)</f>
        <v>Refer to AQ 04.02.04. 
If performed by subcontractors: 
Document identification (name/code, date/edition, etc.) of the internal description of animal health and welfare indicators: XXX
Document identification (name/code, date/edition, etc.) of evidence of training: XXX</v>
      </c>
      <c r="E218" s="26" t="str">
        <f>IF('CL - IFA v6 Smart - AQ'!R222 = 0,"",'CL - IFA v6 Smart - AQ'!R222)</f>
        <v/>
      </c>
      <c r="F218" s="1"/>
      <c r="G218" s="1"/>
      <c r="H218" s="25" t="str">
        <f>IF('Audit Result'!C218 = "No", IF('Audit Result'!G218 = "x", "Closed", "Open"), "")</f>
        <v/>
      </c>
      <c r="I218" s="1"/>
      <c r="J218" s="1"/>
      <c r="K218" s="1"/>
    </row>
    <row r="219" spans="1:11" ht="43.2" x14ac:dyDescent="0.3">
      <c r="A219" s="25" t="str">
        <f>'CL - IFA v6 Smart - AQ'!D223</f>
        <v>AQ-Smart 25.01.03</v>
      </c>
      <c r="B219" s="25" t="str">
        <f>'CL - IFA v6 Smart - AQ'!I223</f>
        <v>Minor Must</v>
      </c>
      <c r="C219" s="25" t="str">
        <f>IF('CL - IFA v6 Smart - AQ'!M223 = 0,"",'CL - IFA v6 Smart - AQ'!M223)</f>
        <v>not answered/error</v>
      </c>
      <c r="D219" s="25" t="str">
        <f>IF('CL - IFA v6 Smart - AQ'!Q223 = 0, "",'CL - IFA v6 Smart - AQ'!Q223)</f>
        <v>Document identification (name/code, date/edition, etc.) of oxygen records: XXX</v>
      </c>
      <c r="E219" s="26" t="str">
        <f>IF('CL - IFA v6 Smart - AQ'!R223 = 0,"",'CL - IFA v6 Smart - AQ'!R223)</f>
        <v/>
      </c>
      <c r="F219" s="1"/>
      <c r="G219" s="1"/>
      <c r="H219" s="25" t="str">
        <f>IF('Audit Result'!C219 = "No", IF('Audit Result'!G219 = "x", "Closed", "Open"), "")</f>
        <v/>
      </c>
      <c r="I219" s="1"/>
      <c r="J219" s="1"/>
      <c r="K219" s="1"/>
    </row>
    <row r="220" spans="1:11" ht="144" x14ac:dyDescent="0.3">
      <c r="A220" s="25" t="str">
        <f>'CL - IFA v6 Smart - AQ'!D224</f>
        <v>AQ-Smart 25.01.04</v>
      </c>
      <c r="B220" s="25" t="str">
        <f>'CL - IFA v6 Smart - AQ'!I224</f>
        <v>Major Must</v>
      </c>
      <c r="C220" s="25" t="str">
        <f>IF('CL - IFA v6 Smart - AQ'!M224 = 0,"",'CL - IFA v6 Smart - AQ'!M224)</f>
        <v>not answered/error</v>
      </c>
      <c r="D220" s="25" t="str">
        <f>IF('CL - IFA v6 Smart - AQ'!Q224 = 0, "",'CL - IFA v6 Smart - AQ'!Q224)</f>
        <v>Document identification (name/code, date/edition, etc.) of the environmental risk assessment and respective environmental management plan that includes any sources of pollution that may enter in contact with the farmed aquatic species:XXX</v>
      </c>
      <c r="E220" s="26" t="str">
        <f>IF('CL - IFA v6 Smart - AQ'!R224 = 0,"",'CL - IFA v6 Smart - AQ'!R224)</f>
        <v/>
      </c>
      <c r="F220" s="1"/>
      <c r="G220" s="1"/>
      <c r="H220" s="25" t="str">
        <f>IF('Audit Result'!C220 = "No", IF('Audit Result'!G220 = "x", "Closed", "Open"), "")</f>
        <v/>
      </c>
      <c r="I220" s="1"/>
      <c r="J220" s="1"/>
      <c r="K220" s="1"/>
    </row>
    <row r="221" spans="1:11" ht="72" x14ac:dyDescent="0.3">
      <c r="A221" s="25" t="str">
        <f>'CL - IFA v6 Smart - AQ'!D225</f>
        <v>AQ-Smart 25.02.01</v>
      </c>
      <c r="B221" s="25" t="str">
        <f>'CL - IFA v6 Smart - AQ'!I225</f>
        <v>Minor Must</v>
      </c>
      <c r="C221" s="25" t="str">
        <f>IF('CL - IFA v6 Smart - AQ'!M225 = 0,"",'CL - IFA v6 Smart - AQ'!M225)</f>
        <v>not answered/error</v>
      </c>
      <c r="D221" s="25" t="str">
        <f>IF('CL - IFA v6 Smart - AQ'!Q225 = 0, "",'CL - IFA v6 Smart - AQ'!Q225)</f>
        <v>Document identification (name/code, date/edition, etc.) of mortality and trend analysis (at holding and crowding facilities):XXX</v>
      </c>
      <c r="E221" s="26" t="str">
        <f>IF('CL - IFA v6 Smart - AQ'!R225 = 0,"",'CL - IFA v6 Smart - AQ'!R225)</f>
        <v/>
      </c>
      <c r="F221" s="1"/>
      <c r="G221" s="1"/>
      <c r="H221" s="25" t="str">
        <f>IF('Audit Result'!C221 = "No", IF('Audit Result'!G221 = "x", "Closed", "Open"), "")</f>
        <v/>
      </c>
      <c r="I221" s="1"/>
      <c r="J221" s="1"/>
      <c r="K221" s="1"/>
    </row>
    <row r="222" spans="1:11" ht="115.2" x14ac:dyDescent="0.3">
      <c r="A222" s="25" t="str">
        <f>'CL - IFA v6 Smart - AQ'!D226</f>
        <v>AQ-Smart 25.02.02</v>
      </c>
      <c r="B222" s="25" t="str">
        <f>'CL - IFA v6 Smart - AQ'!I226</f>
        <v>Major Must</v>
      </c>
      <c r="C222" s="25" t="str">
        <f>IF('CL - IFA v6 Smart - AQ'!M226 = 0,"",'CL - IFA v6 Smart - AQ'!M226)</f>
        <v>not answered/error</v>
      </c>
      <c r="D222" s="25" t="str">
        <f>IF('CL - IFA v6 Smart - AQ'!Q226 = 0, "",'CL - IFA v6 Smart - AQ'!Q226)</f>
        <v xml:space="preserve">Refer to AQ 20.05. 
If performed by subcontractors: 
document identification (name/code, date/edition, etc.) of large scale mortality handling.  </v>
      </c>
      <c r="E222" s="26" t="str">
        <f>IF('CL - IFA v6 Smart - AQ'!R226 = 0,"",'CL - IFA v6 Smart - AQ'!R226)</f>
        <v/>
      </c>
      <c r="F222" s="1"/>
      <c r="G222" s="1"/>
      <c r="H222" s="25" t="str">
        <f>IF('Audit Result'!C222 = "No", IF('Audit Result'!G222 = "x", "Closed", "Open"), "")</f>
        <v/>
      </c>
      <c r="I222" s="1"/>
      <c r="J222" s="1"/>
      <c r="K222" s="1"/>
    </row>
    <row r="223" spans="1:11" ht="115.2" x14ac:dyDescent="0.3">
      <c r="A223" s="25" t="str">
        <f>'CL - IFA v6 Smart - AQ'!D227</f>
        <v>AQ-Smart 25.02.03</v>
      </c>
      <c r="B223" s="25" t="str">
        <f>'CL - IFA v6 Smart - AQ'!I227</f>
        <v>Minor Must</v>
      </c>
      <c r="C223" s="25" t="str">
        <f>IF('CL - IFA v6 Smart - AQ'!M227 = 0,"",'CL - IFA v6 Smart - AQ'!M227)</f>
        <v>not answered/error</v>
      </c>
      <c r="D223" s="25" t="str">
        <f>IF('CL - IFA v6 Smart - AQ'!Q227 = 0, "",'CL - IFA v6 Smart - AQ'!Q227)</f>
        <v>Refer to AQ 20.05. 
If performed by subcontractors: 
Document identification (name/code, date/edition, etc.) of cause of death records: XXX</v>
      </c>
      <c r="E223" s="26" t="str">
        <f>IF('CL - IFA v6 Smart - AQ'!R227 = 0,"",'CL - IFA v6 Smart - AQ'!R227)</f>
        <v/>
      </c>
      <c r="F223" s="1"/>
      <c r="G223" s="1"/>
      <c r="H223" s="25" t="str">
        <f>IF('Audit Result'!C223 = "No", IF('Audit Result'!G223 = "x", "Closed", "Open"), "")</f>
        <v/>
      </c>
      <c r="I223" s="1"/>
      <c r="J223" s="1"/>
      <c r="K223" s="1"/>
    </row>
    <row r="224" spans="1:11" ht="216" x14ac:dyDescent="0.3">
      <c r="A224" s="25" t="str">
        <f>'CL - IFA v6 Smart - AQ'!D228</f>
        <v>AQ-Smart 25.03.01</v>
      </c>
      <c r="B224" s="25" t="str">
        <f>'CL - IFA v6 Smart - AQ'!I228</f>
        <v>Major Must</v>
      </c>
      <c r="C224" s="25" t="str">
        <f>IF('CL - IFA v6 Smart - AQ'!M228 = 0,"",'CL - IFA v6 Smart - AQ'!M228)</f>
        <v>not answered/error</v>
      </c>
      <c r="D224" s="25" t="str">
        <f>IF('CL - IFA v6 Smart - AQ'!Q228 = 0, "",'CL - IFA v6 Smart - AQ'!Q228)</f>
        <v>Refer to AQ 07.03. 
If performed by subcontractors: 
Document identification (name/code, date/edition, batch, specie, biomass etc.) of escapes in the previous certification cycle: XXX
If escapes took place, evidence that this has been reported to the authorities. Ref. XXX</v>
      </c>
      <c r="E224" s="26" t="str">
        <f>IF('CL - IFA v6 Smart - AQ'!R228 = 0,"",'CL - IFA v6 Smart - AQ'!R228)</f>
        <v/>
      </c>
      <c r="F224" s="1"/>
      <c r="G224" s="1"/>
      <c r="H224" s="25" t="str">
        <f>IF('Audit Result'!C224 = "No", IF('Audit Result'!G224 = "x", "Closed", "Open"), "")</f>
        <v/>
      </c>
      <c r="I224" s="1"/>
      <c r="J224" s="1"/>
      <c r="K224" s="1"/>
    </row>
    <row r="225" spans="1:11" ht="86.4" x14ac:dyDescent="0.3">
      <c r="A225" s="25" t="str">
        <f>'CL - IFA v6 Smart - AQ'!D229</f>
        <v>AQ-Smart 26.01.01</v>
      </c>
      <c r="B225" s="25" t="str">
        <f>'CL - IFA v6 Smart - AQ'!I229</f>
        <v>Minor Must</v>
      </c>
      <c r="C225" s="25" t="str">
        <f>IF('CL - IFA v6 Smart - AQ'!M229 = 0,"",'CL - IFA v6 Smart - AQ'!M229)</f>
        <v>not answered/error</v>
      </c>
      <c r="D225" s="25" t="str">
        <f>IF('CL - IFA v6 Smart - AQ'!Q229 = 0, "",'CL - IFA v6 Smart - AQ'!Q229)</f>
        <v>Document identification (name/code, date/edition, etc.) of example of animal welfare feedback from the post-harvest handling to grow-out stages: XXX</v>
      </c>
      <c r="E225" s="26" t="str">
        <f>IF('CL - IFA v6 Smart - AQ'!R229 = 0,"",'CL - IFA v6 Smart - AQ'!R229)</f>
        <v/>
      </c>
      <c r="F225" s="1"/>
      <c r="G225" s="1"/>
      <c r="H225" s="25" t="str">
        <f>IF('Audit Result'!C225 = "No", IF('Audit Result'!G225 = "x", "Closed", "Open"), "")</f>
        <v/>
      </c>
      <c r="I225" s="1"/>
      <c r="J225" s="1"/>
      <c r="K225" s="1"/>
    </row>
    <row r="226" spans="1:11" ht="187.2" x14ac:dyDescent="0.3">
      <c r="A226" s="25" t="str">
        <f>'CL - IFA v6 Smart - AQ'!D230</f>
        <v>AQ-Smart 26.01.02</v>
      </c>
      <c r="B226" s="25" t="str">
        <f>'CL - IFA v6 Smart - AQ'!I230</f>
        <v>Major Must</v>
      </c>
      <c r="C226" s="25" t="str">
        <f>IF('CL - IFA v6 Smart - AQ'!M230 = 0,"",'CL - IFA v6 Smart - AQ'!M230)</f>
        <v>not answered/error</v>
      </c>
      <c r="D226" s="25" t="str">
        <f>IF('CL - IFA v6 Smart - AQ'!Q230 = 0, "",'CL - IFA v6 Smart - AQ'!Q230)</f>
        <v xml:space="preserve">Refer to item 11 of AHP (AQ 20.02.01).
If performed by subcontractors: 
Document identification (name/code, date/edition, etc.) of stunning and killing procedures that considers animal welfare: XXX
</v>
      </c>
      <c r="E226" s="26" t="str">
        <f>IF('CL - IFA v6 Smart - AQ'!R230 = 0,"",'CL - IFA v6 Smart - AQ'!R230)</f>
        <v/>
      </c>
      <c r="F226" s="1"/>
      <c r="G226" s="1"/>
      <c r="H226" s="25" t="str">
        <f>IF('Audit Result'!C226 = "No", IF('Audit Result'!G226 = "x", "Closed", "Open"), "")</f>
        <v/>
      </c>
      <c r="I226" s="1"/>
      <c r="J226" s="1"/>
      <c r="K226" s="1"/>
    </row>
    <row r="227" spans="1:11" ht="172.8" x14ac:dyDescent="0.3">
      <c r="A227" s="25" t="str">
        <f>'CL - IFA v6 Smart - AQ'!D231</f>
        <v>AQ-Smart 26.01.03</v>
      </c>
      <c r="B227" s="25" t="str">
        <f>'CL - IFA v6 Smart - AQ'!I231</f>
        <v>Major Must</v>
      </c>
      <c r="C227" s="25" t="str">
        <f>IF('CL - IFA v6 Smart - AQ'!M231 = 0,"",'CL - IFA v6 Smart - AQ'!M231)</f>
        <v>not answered/error</v>
      </c>
      <c r="D227" s="25" t="str">
        <f>IF('CL - IFA v6 Smart - AQ'!Q231 = 0, "",'CL - IFA v6 Smart - AQ'!Q231)</f>
        <v>Document identification  of training records on animal welfare, specific to the training for stunning and bleeding techniques (where applicable): 
document name:
code:
revision: 
date:
partecipant:
etc.</v>
      </c>
      <c r="E227" s="26" t="str">
        <f>IF('CL - IFA v6 Smart - AQ'!R231 = 0,"",'CL - IFA v6 Smart - AQ'!R231)</f>
        <v/>
      </c>
      <c r="F227" s="1"/>
      <c r="G227" s="1"/>
      <c r="H227" s="25" t="str">
        <f>IF('Audit Result'!C227 = "No", IF('Audit Result'!G227 = "x", "Closed", "Open"), "")</f>
        <v/>
      </c>
      <c r="I227" s="1"/>
      <c r="J227" s="1"/>
      <c r="K227" s="1"/>
    </row>
    <row r="228" spans="1:11" ht="115.2" x14ac:dyDescent="0.3">
      <c r="A228" s="25" t="str">
        <f>'CL - IFA v6 Smart - AQ'!D232</f>
        <v>AQ-Smart 26.01.04</v>
      </c>
      <c r="B228" s="25" t="str">
        <f>'CL - IFA v6 Smart - AQ'!I232</f>
        <v>Major Must</v>
      </c>
      <c r="C228" s="25" t="str">
        <f>IF('CL - IFA v6 Smart - AQ'!M232 = 0,"",'CL - IFA v6 Smart - AQ'!M232)</f>
        <v>not answered/error</v>
      </c>
      <c r="D228" s="25" t="str">
        <f>IF('CL - IFA v6 Smart - AQ'!Q232 = 0, "",'CL - IFA v6 Smart - AQ'!Q232)</f>
        <v>Description of stunning methods. 
If ice slurry or asphyxia used as stunning methods, document identification of the plan to phase out from these practices:   XXX</v>
      </c>
      <c r="E228" s="26" t="str">
        <f>IF('CL - IFA v6 Smart - AQ'!R232 = 0,"",'CL - IFA v6 Smart - AQ'!R232)</f>
        <v/>
      </c>
      <c r="F228" s="1"/>
      <c r="G228" s="1"/>
      <c r="H228" s="25" t="str">
        <f>IF('Audit Result'!C228 = "No", IF('Audit Result'!G228 = "x", "Closed", "Open"), "")</f>
        <v/>
      </c>
      <c r="I228" s="1"/>
      <c r="J228" s="1"/>
      <c r="K228" s="1"/>
    </row>
    <row r="229" spans="1:11" ht="57.6" x14ac:dyDescent="0.3">
      <c r="A229" s="25" t="str">
        <f>'CL - IFA v6 Smart - AQ'!D233</f>
        <v>AQ-Smart 26.01.05</v>
      </c>
      <c r="B229" s="25" t="str">
        <f>'CL - IFA v6 Smart - AQ'!I233</f>
        <v>Major Must</v>
      </c>
      <c r="C229" s="25" t="str">
        <f>IF('CL - IFA v6 Smart - AQ'!M233 = 0,"",'CL - IFA v6 Smart - AQ'!M233)</f>
        <v>not answered/error</v>
      </c>
      <c r="D229" s="25" t="str">
        <f>IF('CL - IFA v6 Smart - AQ'!Q233 = 0, "",'CL - IFA v6 Smart - AQ'!Q233)</f>
        <v>Document identification (name/code, date/edition, etc.) of stunning and killing procedures:</v>
      </c>
      <c r="E229" s="26" t="str">
        <f>IF('CL - IFA v6 Smart - AQ'!R233 = 0,"",'CL - IFA v6 Smart - AQ'!R233)</f>
        <v/>
      </c>
      <c r="F229" s="1"/>
      <c r="G229" s="1"/>
      <c r="H229" s="25" t="str">
        <f>IF('Audit Result'!C229 = "No", IF('Audit Result'!G229 = "x", "Closed", "Open"), "")</f>
        <v/>
      </c>
      <c r="I229" s="1"/>
      <c r="J229" s="1"/>
      <c r="K229" s="1"/>
    </row>
    <row r="230" spans="1:11" ht="28.8" x14ac:dyDescent="0.3">
      <c r="A230" s="25" t="str">
        <f>'CL - IFA v6 Smart - AQ'!D234</f>
        <v>AQ-Smart 26.02.01</v>
      </c>
      <c r="B230" s="25" t="str">
        <f>'CL - IFA v6 Smart - AQ'!I234</f>
        <v>Major Must</v>
      </c>
      <c r="C230" s="25" t="str">
        <f>IF('CL - IFA v6 Smart - AQ'!M234 = 0,"",'CL - IFA v6 Smart - AQ'!M234)</f>
        <v>not answered/error</v>
      </c>
      <c r="D230" s="25" t="str">
        <f>IF('CL - IFA v6 Smart - AQ'!Q234 = 0, "",'CL - IFA v6 Smart - AQ'!Q234)</f>
        <v>Refer to AQ 25.01.04 (equivalent to CoC-SC 6.10).</v>
      </c>
      <c r="E230" s="26" t="str">
        <f>IF('CL - IFA v6 Smart - AQ'!R234 = 0,"",'CL - IFA v6 Smart - AQ'!R234)</f>
        <v/>
      </c>
      <c r="F230" s="1"/>
      <c r="G230" s="1"/>
      <c r="H230" s="25" t="str">
        <f>IF('Audit Result'!C230 = "No", IF('Audit Result'!G230 = "x", "Closed", "Open"), "")</f>
        <v/>
      </c>
      <c r="I230" s="1"/>
      <c r="J230" s="1"/>
      <c r="K230" s="1"/>
    </row>
    <row r="231" spans="1:11" ht="158.4" x14ac:dyDescent="0.3">
      <c r="A231" s="25" t="str">
        <f>'CL - IFA v6 Smart - AQ'!D235</f>
        <v>AQ-Smart 27.01</v>
      </c>
      <c r="B231" s="25" t="str">
        <f>'CL - IFA v6 Smart - AQ'!I235</f>
        <v>Major Must</v>
      </c>
      <c r="C231" s="25" t="str">
        <f>IF('CL - IFA v6 Smart - AQ'!M235 = 0,"",'CL - IFA v6 Smart - AQ'!M235)</f>
        <v>not answered/error</v>
      </c>
      <c r="D231" s="25" t="str">
        <f>IF('CL - IFA v6 Smart - AQ'!Q235 = 0, "",'CL - IFA v6 Smart - AQ'!Q235)</f>
        <v>Document identification (name/code, date/edition, etc.) of license to operate as a depuration station:
Document identification (name/code, date/edition, etc.) of the parameters used for the depuration linked to species and origin of respective batches:XXX</v>
      </c>
      <c r="E231" s="26" t="str">
        <f>IF('CL - IFA v6 Smart - AQ'!R235 = 0,"",'CL - IFA v6 Smart - AQ'!R235)</f>
        <v/>
      </c>
      <c r="F231" s="1"/>
      <c r="G231" s="1"/>
      <c r="H231" s="25" t="str">
        <f>IF('Audit Result'!C231 = "No", IF('Audit Result'!G231 = "x", "Closed", "Open"), "")</f>
        <v/>
      </c>
      <c r="I231" s="1"/>
      <c r="J231" s="1"/>
      <c r="K231" s="1"/>
    </row>
    <row r="232" spans="1:11" x14ac:dyDescent="0.3">
      <c r="A232" s="25" t="str">
        <f>'CL - IFA v6 Smart - AQ'!D236</f>
        <v>AQ-Smart 28.01.01</v>
      </c>
      <c r="B232" s="25" t="str">
        <f>'CL - IFA v6 Smart - AQ'!I236</f>
        <v>Major Must</v>
      </c>
      <c r="C232" s="25" t="str">
        <f>IF('CL - IFA v6 Smart - AQ'!M236 = 0,"",'CL - IFA v6 Smart - AQ'!M236)</f>
        <v>not answered/error</v>
      </c>
      <c r="D232" s="25" t="str">
        <f>IF('CL - IFA v6 Smart - AQ'!Q236 = 0, "",'CL - IFA v6 Smart - AQ'!Q236)</f>
        <v/>
      </c>
      <c r="E232" s="26" t="str">
        <f>IF('CL - IFA v6 Smart - AQ'!R236 = 0,"",'CL - IFA v6 Smart - AQ'!R236)</f>
        <v/>
      </c>
      <c r="F232" s="1"/>
      <c r="G232" s="1"/>
      <c r="H232" s="25" t="str">
        <f>IF('Audit Result'!C232 = "No", IF('Audit Result'!G232 = "x", "Closed", "Open"), "")</f>
        <v/>
      </c>
      <c r="I232" s="1"/>
      <c r="J232" s="1"/>
      <c r="K232" s="1"/>
    </row>
    <row r="233" spans="1:11" x14ac:dyDescent="0.3">
      <c r="A233" s="25" t="str">
        <f>'CL - IFA v6 Smart - AQ'!D237</f>
        <v>AQ-Smart 28.01.02</v>
      </c>
      <c r="B233" s="25" t="str">
        <f>'CL - IFA v6 Smart - AQ'!I237</f>
        <v>Major Must</v>
      </c>
      <c r="C233" s="25" t="str">
        <f>IF('CL - IFA v6 Smart - AQ'!M237 = 0,"",'CL - IFA v6 Smart - AQ'!M237)</f>
        <v>not answered/error</v>
      </c>
      <c r="D233" s="25" t="str">
        <f>IF('CL - IFA v6 Smart - AQ'!Q237 = 0, "",'CL - IFA v6 Smart - AQ'!Q237)</f>
        <v/>
      </c>
      <c r="E233" s="26" t="str">
        <f>IF('CL - IFA v6 Smart - AQ'!R237 = 0,"",'CL - IFA v6 Smart - AQ'!R237)</f>
        <v/>
      </c>
      <c r="F233" s="1"/>
      <c r="G233" s="1"/>
      <c r="H233" s="25" t="str">
        <f>IF('Audit Result'!C233 = "No", IF('Audit Result'!G233 = "x", "Closed", "Open"), "")</f>
        <v/>
      </c>
      <c r="I233" s="1"/>
      <c r="J233" s="1"/>
      <c r="K233" s="1"/>
    </row>
    <row r="234" spans="1:11" x14ac:dyDescent="0.3">
      <c r="A234" s="25" t="str">
        <f>'CL - IFA v6 Smart - AQ'!D238</f>
        <v>AQ-Smart 28.01.03</v>
      </c>
      <c r="B234" s="25" t="str">
        <f>'CL - IFA v6 Smart - AQ'!I238</f>
        <v>Major Must</v>
      </c>
      <c r="C234" s="25" t="str">
        <f>IF('CL - IFA v6 Smart - AQ'!M238 = 0,"",'CL - IFA v6 Smart - AQ'!M238)</f>
        <v>not answered/error</v>
      </c>
      <c r="D234" s="25" t="str">
        <f>IF('CL - IFA v6 Smart - AQ'!Q238 = 0, "",'CL - IFA v6 Smart - AQ'!Q238)</f>
        <v/>
      </c>
      <c r="E234" s="26" t="str">
        <f>IF('CL - IFA v6 Smart - AQ'!R238 = 0,"",'CL - IFA v6 Smart - AQ'!R238)</f>
        <v/>
      </c>
      <c r="F234" s="1"/>
      <c r="G234" s="1"/>
      <c r="H234" s="25" t="str">
        <f>IF('Audit Result'!C234 = "No", IF('Audit Result'!G234 = "x", "Closed", "Open"), "")</f>
        <v/>
      </c>
      <c r="I234" s="1"/>
      <c r="J234" s="1"/>
      <c r="K234" s="1"/>
    </row>
    <row r="235" spans="1:11" x14ac:dyDescent="0.3">
      <c r="A235" s="25" t="str">
        <f>'CL - IFA v6 Smart - AQ'!D239</f>
        <v>AQ-Smart 28.01.04</v>
      </c>
      <c r="B235" s="25" t="str">
        <f>'CL - IFA v6 Smart - AQ'!I239</f>
        <v>Major Must</v>
      </c>
      <c r="C235" s="25" t="str">
        <f>IF('CL - IFA v6 Smart - AQ'!M239 = 0,"",'CL - IFA v6 Smart - AQ'!M239)</f>
        <v>not answered/error</v>
      </c>
      <c r="D235" s="25" t="str">
        <f>IF('CL - IFA v6 Smart - AQ'!Q239 = 0, "",'CL - IFA v6 Smart - AQ'!Q239)</f>
        <v/>
      </c>
      <c r="E235" s="26" t="str">
        <f>IF('CL - IFA v6 Smart - AQ'!R239 = 0,"",'CL - IFA v6 Smart - AQ'!R239)</f>
        <v/>
      </c>
      <c r="F235" s="1"/>
      <c r="G235" s="1"/>
      <c r="H235" s="25" t="str">
        <f>IF('Audit Result'!C235 = "No", IF('Audit Result'!G235 = "x", "Closed", "Open"), "")</f>
        <v/>
      </c>
      <c r="I235" s="1"/>
      <c r="J235" s="1"/>
      <c r="K235" s="1"/>
    </row>
    <row r="236" spans="1:11" x14ac:dyDescent="0.3">
      <c r="A236" s="25" t="str">
        <f>'CL - IFA v6 Smart - AQ'!D240</f>
        <v>AQ-Smart 28.01.05</v>
      </c>
      <c r="B236" s="25" t="str">
        <f>'CL - IFA v6 Smart - AQ'!I240</f>
        <v>Major Must</v>
      </c>
      <c r="C236" s="25" t="str">
        <f>IF('CL - IFA v6 Smart - AQ'!M240 = 0,"",'CL - IFA v6 Smart - AQ'!M240)</f>
        <v>not answered/error</v>
      </c>
      <c r="D236" s="25" t="str">
        <f>IF('CL - IFA v6 Smart - AQ'!Q240 = 0, "",'CL - IFA v6 Smart - AQ'!Q240)</f>
        <v/>
      </c>
      <c r="E236" s="26" t="str">
        <f>IF('CL - IFA v6 Smart - AQ'!R240 = 0,"",'CL - IFA v6 Smart - AQ'!R240)</f>
        <v/>
      </c>
      <c r="F236" s="1"/>
      <c r="G236" s="1"/>
      <c r="H236" s="25" t="str">
        <f>IF('Audit Result'!C236 = "No", IF('Audit Result'!G236 = "x", "Closed", "Open"), "")</f>
        <v/>
      </c>
      <c r="I236" s="1"/>
      <c r="J236" s="1"/>
      <c r="K236" s="1"/>
    </row>
    <row r="237" spans="1:11" x14ac:dyDescent="0.3">
      <c r="A237" s="25" t="str">
        <f>'CL - IFA v6 Smart - AQ'!D241</f>
        <v>AQ-Smart 28.01.06</v>
      </c>
      <c r="B237" s="25" t="str">
        <f>'CL - IFA v6 Smart - AQ'!I241</f>
        <v>Major Must</v>
      </c>
      <c r="C237" s="25" t="str">
        <f>IF('CL - IFA v6 Smart - AQ'!M241 = 0,"",'CL - IFA v6 Smart - AQ'!M241)</f>
        <v>not answered/error</v>
      </c>
      <c r="D237" s="25" t="str">
        <f>IF('CL - IFA v6 Smart - AQ'!Q241 = 0, "",'CL - IFA v6 Smart - AQ'!Q241)</f>
        <v/>
      </c>
      <c r="E237" s="26" t="str">
        <f>IF('CL - IFA v6 Smart - AQ'!R241 = 0,"",'CL - IFA v6 Smart - AQ'!R241)</f>
        <v/>
      </c>
      <c r="F237" s="1"/>
      <c r="G237" s="1"/>
      <c r="H237" s="25" t="str">
        <f>IF('Audit Result'!C237 = "No", IF('Audit Result'!G237 = "x", "Closed", "Open"), "")</f>
        <v/>
      </c>
      <c r="I237" s="1"/>
      <c r="J237" s="1"/>
      <c r="K237" s="1"/>
    </row>
    <row r="238" spans="1:11" x14ac:dyDescent="0.3">
      <c r="A238" s="25" t="str">
        <f>'CL - IFA v6 Smart - AQ'!D242</f>
        <v>AQ-Smart 28.01.07</v>
      </c>
      <c r="B238" s="25" t="str">
        <f>'CL - IFA v6 Smart - AQ'!I242</f>
        <v>Major Must</v>
      </c>
      <c r="C238" s="25" t="str">
        <f>IF('CL - IFA v6 Smart - AQ'!M242 = 0,"",'CL - IFA v6 Smart - AQ'!M242)</f>
        <v>not answered/error</v>
      </c>
      <c r="D238" s="25" t="str">
        <f>IF('CL - IFA v6 Smart - AQ'!Q242 = 0, "",'CL - IFA v6 Smart - AQ'!Q242)</f>
        <v/>
      </c>
      <c r="E238" s="26" t="str">
        <f>IF('CL - IFA v6 Smart - AQ'!R242 = 0,"",'CL - IFA v6 Smart - AQ'!R242)</f>
        <v/>
      </c>
      <c r="F238" s="1"/>
      <c r="G238" s="1"/>
      <c r="H238" s="25" t="str">
        <f>IF('Audit Result'!C238 = "No", IF('Audit Result'!G238 = "x", "Closed", "Open"), "")</f>
        <v/>
      </c>
      <c r="I238" s="1"/>
      <c r="J238" s="1"/>
      <c r="K238" s="1"/>
    </row>
    <row r="239" spans="1:11" x14ac:dyDescent="0.3">
      <c r="A239" s="25" t="str">
        <f>'CL - IFA v6 Smart - AQ'!D243</f>
        <v>AQ-Smart 28.01.08</v>
      </c>
      <c r="B239" s="25" t="str">
        <f>'CL - IFA v6 Smart - AQ'!I243</f>
        <v>Major Must</v>
      </c>
      <c r="C239" s="25" t="str">
        <f>IF('CL - IFA v6 Smart - AQ'!M243 = 0,"",'CL - IFA v6 Smart - AQ'!M243)</f>
        <v>not answered/error</v>
      </c>
      <c r="D239" s="25" t="str">
        <f>IF('CL - IFA v6 Smart - AQ'!Q243 = 0, "",'CL - IFA v6 Smart - AQ'!Q243)</f>
        <v/>
      </c>
      <c r="E239" s="26" t="str">
        <f>IF('CL - IFA v6 Smart - AQ'!R243 = 0,"",'CL - IFA v6 Smart - AQ'!R243)</f>
        <v/>
      </c>
      <c r="F239" s="1"/>
      <c r="G239" s="1"/>
      <c r="H239" s="25" t="str">
        <f>IF('Audit Result'!C239 = "No", IF('Audit Result'!G239 = "x", "Closed", "Open"), "")</f>
        <v/>
      </c>
      <c r="I239" s="1"/>
      <c r="J239" s="1"/>
      <c r="K239" s="1"/>
    </row>
    <row r="240" spans="1:11" x14ac:dyDescent="0.3">
      <c r="A240" s="25" t="str">
        <f>'CL - IFA v6 Smart - AQ'!D244</f>
        <v>AQ-Smart 28.01.09</v>
      </c>
      <c r="B240" s="25" t="str">
        <f>'CL - IFA v6 Smart - AQ'!I244</f>
        <v>Major Must</v>
      </c>
      <c r="C240" s="25" t="str">
        <f>IF('CL - IFA v6 Smart - AQ'!M244 = 0,"",'CL - IFA v6 Smart - AQ'!M244)</f>
        <v>not answered/error</v>
      </c>
      <c r="D240" s="25" t="str">
        <f>IF('CL - IFA v6 Smart - AQ'!Q244 = 0, "",'CL - IFA v6 Smart - AQ'!Q244)</f>
        <v/>
      </c>
      <c r="E240" s="26" t="str">
        <f>IF('CL - IFA v6 Smart - AQ'!R244 = 0,"",'CL - IFA v6 Smart - AQ'!R244)</f>
        <v/>
      </c>
      <c r="F240" s="1"/>
      <c r="G240" s="1"/>
      <c r="H240" s="25" t="str">
        <f>IF('Audit Result'!C240 = "No", IF('Audit Result'!G240 = "x", "Closed", "Open"), "")</f>
        <v/>
      </c>
      <c r="I240" s="1"/>
      <c r="J240" s="1"/>
      <c r="K240" s="1"/>
    </row>
    <row r="241" spans="1:11" x14ac:dyDescent="0.3">
      <c r="A241" s="25" t="str">
        <f>'CL - IFA v6 Smart - AQ'!D245</f>
        <v>AQ-Smart 28.02.01</v>
      </c>
      <c r="B241" s="25" t="str">
        <f>'CL - IFA v6 Smart - AQ'!I245</f>
        <v>Major Must</v>
      </c>
      <c r="C241" s="25" t="str">
        <f>IF('CL - IFA v6 Smart - AQ'!M245 = 0,"",'CL - IFA v6 Smart - AQ'!M245)</f>
        <v>not answered/error</v>
      </c>
      <c r="D241" s="25" t="str">
        <f>IF('CL - IFA v6 Smart - AQ'!Q245 = 0, "",'CL - IFA v6 Smart - AQ'!Q245)</f>
        <v/>
      </c>
      <c r="E241" s="26" t="str">
        <f>IF('CL - IFA v6 Smart - AQ'!R245 = 0,"",'CL - IFA v6 Smart - AQ'!R245)</f>
        <v/>
      </c>
      <c r="F241" s="1"/>
      <c r="G241" s="1"/>
      <c r="H241" s="25" t="str">
        <f>IF('Audit Result'!C241 = "No", IF('Audit Result'!G241 = "x", "Closed", "Open"), "")</f>
        <v/>
      </c>
      <c r="I241" s="1"/>
      <c r="J241" s="1"/>
      <c r="K241" s="1"/>
    </row>
    <row r="242" spans="1:11" x14ac:dyDescent="0.3">
      <c r="A242" s="25" t="str">
        <f>'CL - IFA v6 Smart - AQ'!D246</f>
        <v>AQ-Smart 28.02.02</v>
      </c>
      <c r="B242" s="25" t="str">
        <f>'CL - IFA v6 Smart - AQ'!I246</f>
        <v>Major Must</v>
      </c>
      <c r="C242" s="25" t="str">
        <f>IF('CL - IFA v6 Smart - AQ'!M246 = 0,"",'CL - IFA v6 Smart - AQ'!M246)</f>
        <v>not answered/error</v>
      </c>
      <c r="D242" s="25" t="str">
        <f>IF('CL - IFA v6 Smart - AQ'!Q246 = 0, "",'CL - IFA v6 Smart - AQ'!Q246)</f>
        <v/>
      </c>
      <c r="E242" s="26" t="str">
        <f>IF('CL - IFA v6 Smart - AQ'!R246 = 0,"",'CL - IFA v6 Smart - AQ'!R246)</f>
        <v/>
      </c>
      <c r="F242" s="1"/>
      <c r="G242" s="1"/>
      <c r="H242" s="25" t="str">
        <f>IF('Audit Result'!C242 = "No", IF('Audit Result'!G242 = "x", "Closed", "Open"), "")</f>
        <v/>
      </c>
      <c r="I242" s="1"/>
      <c r="J242" s="1"/>
      <c r="K242" s="1"/>
    </row>
    <row r="243" spans="1:11" x14ac:dyDescent="0.3">
      <c r="A243" s="25" t="str">
        <f>'CL - IFA v6 Smart - AQ'!D247</f>
        <v>AQ-Smart 28.02.03</v>
      </c>
      <c r="B243" s="25" t="str">
        <f>'CL - IFA v6 Smart - AQ'!I247</f>
        <v>Major Must</v>
      </c>
      <c r="C243" s="25" t="str">
        <f>IF('CL - IFA v6 Smart - AQ'!M247 = 0,"",'CL - IFA v6 Smart - AQ'!M247)</f>
        <v>not answered/error</v>
      </c>
      <c r="D243" s="25" t="str">
        <f>IF('CL - IFA v6 Smart - AQ'!Q247 = 0, "",'CL - IFA v6 Smart - AQ'!Q247)</f>
        <v/>
      </c>
      <c r="E243" s="26" t="str">
        <f>IF('CL - IFA v6 Smart - AQ'!R247 = 0,"",'CL - IFA v6 Smart - AQ'!R247)</f>
        <v/>
      </c>
      <c r="F243" s="1"/>
      <c r="G243" s="1"/>
      <c r="H243" s="25" t="str">
        <f>IF('Audit Result'!C243 = "No", IF('Audit Result'!G243 = "x", "Closed", "Open"), "")</f>
        <v/>
      </c>
      <c r="I243" s="1"/>
      <c r="J243" s="1"/>
      <c r="K243" s="1"/>
    </row>
    <row r="244" spans="1:11" x14ac:dyDescent="0.3">
      <c r="A244" s="25" t="str">
        <f>'CL - IFA v6 Smart - AQ'!D248</f>
        <v>AQ-Smart 28.02.04</v>
      </c>
      <c r="B244" s="25" t="str">
        <f>'CL - IFA v6 Smart - AQ'!I248</f>
        <v>Major Must</v>
      </c>
      <c r="C244" s="25" t="str">
        <f>IF('CL - IFA v6 Smart - AQ'!M248 = 0,"",'CL - IFA v6 Smart - AQ'!M248)</f>
        <v>not answered/error</v>
      </c>
      <c r="D244" s="25" t="str">
        <f>IF('CL - IFA v6 Smart - AQ'!Q248 = 0, "",'CL - IFA v6 Smart - AQ'!Q248)</f>
        <v/>
      </c>
      <c r="E244" s="26" t="str">
        <f>IF('CL - IFA v6 Smart - AQ'!R248 = 0,"",'CL - IFA v6 Smart - AQ'!R248)</f>
        <v/>
      </c>
      <c r="F244" s="1"/>
      <c r="G244" s="1"/>
      <c r="H244" s="25" t="str">
        <f>IF('Audit Result'!C244 = "No", IF('Audit Result'!G244 = "x", "Closed", "Open"), "")</f>
        <v/>
      </c>
      <c r="I244" s="1"/>
      <c r="J244" s="1"/>
      <c r="K244" s="1"/>
    </row>
    <row r="245" spans="1:11" x14ac:dyDescent="0.3">
      <c r="A245" s="25" t="str">
        <f>'CL - IFA v6 Smart - AQ'!D249</f>
        <v>AQ-Smart 28.02.05</v>
      </c>
      <c r="B245" s="25" t="str">
        <f>'CL - IFA v6 Smart - AQ'!I249</f>
        <v>Major Must</v>
      </c>
      <c r="C245" s="25" t="str">
        <f>IF('CL - IFA v6 Smart - AQ'!M249 = 0,"",'CL - IFA v6 Smart - AQ'!M249)</f>
        <v>not answered/error</v>
      </c>
      <c r="D245" s="25" t="str">
        <f>IF('CL - IFA v6 Smart - AQ'!Q249 = 0, "",'CL - IFA v6 Smart - AQ'!Q249)</f>
        <v/>
      </c>
      <c r="E245" s="26" t="str">
        <f>IF('CL - IFA v6 Smart - AQ'!R249 = 0,"",'CL - IFA v6 Smart - AQ'!R249)</f>
        <v/>
      </c>
      <c r="F245" s="1"/>
      <c r="G245" s="1"/>
      <c r="H245" s="25" t="str">
        <f>IF('Audit Result'!C245 = "No", IF('Audit Result'!G245 = "x", "Closed", "Open"), "")</f>
        <v/>
      </c>
      <c r="I245" s="1"/>
      <c r="J245" s="1"/>
      <c r="K245" s="1"/>
    </row>
    <row r="246" spans="1:11" x14ac:dyDescent="0.3">
      <c r="A246" s="25" t="str">
        <f>'CL - IFA v6 Smart - AQ'!D250</f>
        <v>AQ-Smart 28.02.06</v>
      </c>
      <c r="B246" s="25" t="str">
        <f>'CL - IFA v6 Smart - AQ'!I250</f>
        <v>Major Must</v>
      </c>
      <c r="C246" s="25" t="str">
        <f>IF('CL - IFA v6 Smart - AQ'!M250 = 0,"",'CL - IFA v6 Smart - AQ'!M250)</f>
        <v>not answered/error</v>
      </c>
      <c r="D246" s="25" t="str">
        <f>IF('CL - IFA v6 Smart - AQ'!Q250 = 0, "",'CL - IFA v6 Smart - AQ'!Q250)</f>
        <v/>
      </c>
      <c r="E246" s="26" t="str">
        <f>IF('CL - IFA v6 Smart - AQ'!R250 = 0,"",'CL - IFA v6 Smart - AQ'!R250)</f>
        <v/>
      </c>
      <c r="F246" s="1"/>
      <c r="G246" s="1"/>
      <c r="H246" s="25" t="str">
        <f>IF('Audit Result'!C246 = "No", IF('Audit Result'!G246 = "x", "Closed", "Open"), "")</f>
        <v/>
      </c>
      <c r="I246" s="1"/>
      <c r="J246" s="1"/>
      <c r="K246" s="1"/>
    </row>
    <row r="247" spans="1:11" x14ac:dyDescent="0.3">
      <c r="A247" s="25" t="str">
        <f>'CL - IFA v6 Smart - AQ'!D251</f>
        <v>AQ-Smart 28.03.01</v>
      </c>
      <c r="B247" s="25" t="str">
        <f>'CL - IFA v6 Smart - AQ'!I251</f>
        <v>Major Must</v>
      </c>
      <c r="C247" s="25" t="str">
        <f>IF('CL - IFA v6 Smart - AQ'!M251 = 0,"",'CL - IFA v6 Smart - AQ'!M251)</f>
        <v>not answered/error</v>
      </c>
      <c r="D247" s="25" t="str">
        <f>IF('CL - IFA v6 Smart - AQ'!Q251 = 0, "",'CL - IFA v6 Smart - AQ'!Q251)</f>
        <v/>
      </c>
      <c r="E247" s="26" t="str">
        <f>IF('CL - IFA v6 Smart - AQ'!R251 = 0,"",'CL - IFA v6 Smart - AQ'!R251)</f>
        <v/>
      </c>
      <c r="F247" s="1"/>
      <c r="G247" s="1"/>
      <c r="H247" s="25" t="str">
        <f>IF('Audit Result'!C247 = "No", IF('Audit Result'!G247 = "x", "Closed", "Open"), "")</f>
        <v/>
      </c>
      <c r="I247" s="1"/>
      <c r="J247" s="1"/>
      <c r="K247" s="1"/>
    </row>
    <row r="248" spans="1:11" x14ac:dyDescent="0.3">
      <c r="A248" s="25" t="str">
        <f>'CL - IFA v6 Smart - AQ'!D252</f>
        <v>AQ-Smart 28.03.02</v>
      </c>
      <c r="B248" s="25" t="str">
        <f>'CL - IFA v6 Smart - AQ'!I252</f>
        <v>Major Must</v>
      </c>
      <c r="C248" s="25" t="str">
        <f>IF('CL - IFA v6 Smart - AQ'!M252 = 0,"",'CL - IFA v6 Smart - AQ'!M252)</f>
        <v>not answered/error</v>
      </c>
      <c r="D248" s="25" t="str">
        <f>IF('CL - IFA v6 Smart - AQ'!Q252 = 0, "",'CL - IFA v6 Smart - AQ'!Q252)</f>
        <v/>
      </c>
      <c r="E248" s="26" t="str">
        <f>IF('CL - IFA v6 Smart - AQ'!R252 = 0,"",'CL - IFA v6 Smart - AQ'!R252)</f>
        <v/>
      </c>
      <c r="F248" s="1"/>
      <c r="G248" s="1"/>
      <c r="H248" s="25" t="str">
        <f>IF('Audit Result'!C248 = "No", IF('Audit Result'!G248 = "x", "Closed", "Open"), "")</f>
        <v/>
      </c>
      <c r="I248" s="1"/>
      <c r="J248" s="1"/>
      <c r="K248" s="1"/>
    </row>
    <row r="249" spans="1:11" x14ac:dyDescent="0.3">
      <c r="A249" s="25" t="str">
        <f>'CL - IFA v6 Smart - AQ'!D253</f>
        <v>AQ-Smart 28.03.03</v>
      </c>
      <c r="B249" s="25" t="str">
        <f>'CL - IFA v6 Smart - AQ'!I253</f>
        <v>Major Must</v>
      </c>
      <c r="C249" s="25" t="str">
        <f>IF('CL - IFA v6 Smart - AQ'!M253 = 0,"",'CL - IFA v6 Smart - AQ'!M253)</f>
        <v>not answered/error</v>
      </c>
      <c r="D249" s="25" t="str">
        <f>IF('CL - IFA v6 Smart - AQ'!Q253 = 0, "",'CL - IFA v6 Smart - AQ'!Q253)</f>
        <v/>
      </c>
      <c r="E249" s="26" t="str">
        <f>IF('CL - IFA v6 Smart - AQ'!R253 = 0,"",'CL - IFA v6 Smart - AQ'!R253)</f>
        <v/>
      </c>
      <c r="F249" s="1"/>
      <c r="G249" s="1"/>
      <c r="H249" s="25" t="str">
        <f>IF('Audit Result'!C249 = "No", IF('Audit Result'!G249 = "x", "Closed", "Open"), "")</f>
        <v/>
      </c>
      <c r="I249" s="1"/>
      <c r="J249" s="1"/>
      <c r="K249" s="1"/>
    </row>
    <row r="250" spans="1:11" x14ac:dyDescent="0.3">
      <c r="A250" s="25" t="str">
        <f>'CL - IFA v6 Smart - AQ'!D254</f>
        <v>AQ-Smart 28.03.04</v>
      </c>
      <c r="B250" s="25" t="str">
        <f>'CL - IFA v6 Smart - AQ'!I254</f>
        <v>Major Must</v>
      </c>
      <c r="C250" s="25" t="str">
        <f>IF('CL - IFA v6 Smart - AQ'!M254 = 0,"",'CL - IFA v6 Smart - AQ'!M254)</f>
        <v>not answered/error</v>
      </c>
      <c r="D250" s="25" t="str">
        <f>IF('CL - IFA v6 Smart - AQ'!Q254 = 0, "",'CL - IFA v6 Smart - AQ'!Q254)</f>
        <v/>
      </c>
      <c r="E250" s="26" t="str">
        <f>IF('CL - IFA v6 Smart - AQ'!R254 = 0,"",'CL - IFA v6 Smart - AQ'!R254)</f>
        <v/>
      </c>
      <c r="F250" s="1"/>
      <c r="G250" s="1"/>
      <c r="H250" s="25" t="str">
        <f>IF('Audit Result'!C250 = "No", IF('Audit Result'!G250 = "x", "Closed", "Open"), "")</f>
        <v/>
      </c>
      <c r="I250" s="1"/>
      <c r="J250" s="1"/>
      <c r="K250" s="1"/>
    </row>
    <row r="251" spans="1:11" x14ac:dyDescent="0.3">
      <c r="A251" s="25" t="str">
        <f>'CL - IFA v6 Smart - AQ'!D255</f>
        <v>AQ-Smart 28.04.01</v>
      </c>
      <c r="B251" s="25" t="str">
        <f>'CL - IFA v6 Smart - AQ'!I255</f>
        <v>Major Must</v>
      </c>
      <c r="C251" s="25" t="str">
        <f>IF('CL - IFA v6 Smart - AQ'!M255 = 0,"",'CL - IFA v6 Smart - AQ'!M255)</f>
        <v>not answered/error</v>
      </c>
      <c r="D251" s="25" t="str">
        <f>IF('CL - IFA v6 Smart - AQ'!Q255 = 0, "",'CL - IFA v6 Smart - AQ'!Q255)</f>
        <v/>
      </c>
      <c r="E251" s="26" t="str">
        <f>IF('CL - IFA v6 Smart - AQ'!R255 = 0,"",'CL - IFA v6 Smart - AQ'!R255)</f>
        <v/>
      </c>
      <c r="F251" s="1"/>
      <c r="G251" s="1"/>
      <c r="H251" s="25" t="str">
        <f>IF('Audit Result'!C251 = "No", IF('Audit Result'!G251 = "x", "Closed", "Open"), "")</f>
        <v/>
      </c>
      <c r="I251" s="1"/>
      <c r="J251" s="1"/>
      <c r="K251" s="1"/>
    </row>
    <row r="252" spans="1:11" x14ac:dyDescent="0.3">
      <c r="A252" s="25" t="str">
        <f>'CL - IFA v6 Smart - AQ'!D256</f>
        <v>AQ-Smart 28.04.02</v>
      </c>
      <c r="B252" s="25" t="str">
        <f>'CL - IFA v6 Smart - AQ'!I256</f>
        <v>Major Must</v>
      </c>
      <c r="C252" s="25" t="str">
        <f>IF('CL - IFA v6 Smart - AQ'!M256 = 0,"",'CL - IFA v6 Smart - AQ'!M256)</f>
        <v>not answered/error</v>
      </c>
      <c r="D252" s="25" t="str">
        <f>IF('CL - IFA v6 Smart - AQ'!Q256 = 0, "",'CL - IFA v6 Smart - AQ'!Q256)</f>
        <v/>
      </c>
      <c r="E252" s="26" t="str">
        <f>IF('CL - IFA v6 Smart - AQ'!R256 = 0,"",'CL - IFA v6 Smart - AQ'!R256)</f>
        <v/>
      </c>
      <c r="F252" s="1"/>
      <c r="G252" s="1"/>
      <c r="H252" s="25" t="str">
        <f>IF('Audit Result'!C252 = "No", IF('Audit Result'!G252 = "x", "Closed", "Open"), "")</f>
        <v/>
      </c>
      <c r="I252" s="1"/>
      <c r="J252" s="1"/>
      <c r="K252" s="1"/>
    </row>
    <row r="253" spans="1:11" x14ac:dyDescent="0.3">
      <c r="A253" s="25" t="str">
        <f>'CL - IFA v6 Smart - AQ'!D257</f>
        <v>AQ-Smart 28.04.03</v>
      </c>
      <c r="B253" s="25" t="str">
        <f>'CL - IFA v6 Smart - AQ'!I257</f>
        <v>Major Must</v>
      </c>
      <c r="C253" s="25" t="str">
        <f>IF('CL - IFA v6 Smart - AQ'!M257 = 0,"",'CL - IFA v6 Smart - AQ'!M257)</f>
        <v>not answered/error</v>
      </c>
      <c r="D253" s="25" t="str">
        <f>IF('CL - IFA v6 Smart - AQ'!Q257 = 0, "",'CL - IFA v6 Smart - AQ'!Q257)</f>
        <v/>
      </c>
      <c r="E253" s="26" t="str">
        <f>IF('CL - IFA v6 Smart - AQ'!R257 = 0,"",'CL - IFA v6 Smart - AQ'!R257)</f>
        <v/>
      </c>
      <c r="F253" s="1"/>
      <c r="G253" s="1"/>
      <c r="H253" s="25" t="str">
        <f>IF('Audit Result'!C253 = "No", IF('Audit Result'!G253 = "x", "Closed", "Open"), "")</f>
        <v/>
      </c>
      <c r="I253" s="1"/>
      <c r="J253" s="1"/>
      <c r="K253" s="1"/>
    </row>
    <row r="254" spans="1:11" x14ac:dyDescent="0.3">
      <c r="A254" s="25" t="str">
        <f>'CL - IFA v6 Smart - AQ'!D258</f>
        <v>AQ-Smart 28.04.04</v>
      </c>
      <c r="B254" s="25" t="str">
        <f>'CL - IFA v6 Smart - AQ'!I258</f>
        <v>Major Must</v>
      </c>
      <c r="C254" s="25" t="str">
        <f>IF('CL - IFA v6 Smart - AQ'!M258 = 0,"",'CL - IFA v6 Smart - AQ'!M258)</f>
        <v>not answered/error</v>
      </c>
      <c r="D254" s="25" t="str">
        <f>IF('CL - IFA v6 Smart - AQ'!Q258 = 0, "",'CL - IFA v6 Smart - AQ'!Q258)</f>
        <v/>
      </c>
      <c r="E254" s="26" t="str">
        <f>IF('CL - IFA v6 Smart - AQ'!R258 = 0,"",'CL - IFA v6 Smart - AQ'!R258)</f>
        <v/>
      </c>
      <c r="F254" s="1"/>
      <c r="G254" s="1"/>
      <c r="H254" s="25" t="str">
        <f>IF('Audit Result'!C254 = "No", IF('Audit Result'!G254 = "x", "Closed", "Open"), "")</f>
        <v/>
      </c>
      <c r="I254" s="1"/>
      <c r="J254" s="1"/>
      <c r="K254" s="1"/>
    </row>
    <row r="255" spans="1:11" x14ac:dyDescent="0.3">
      <c r="A255" s="25" t="str">
        <f>'CL - IFA v6 Smart - AQ'!D259</f>
        <v>AQ-Smart 28.05.01</v>
      </c>
      <c r="B255" s="25" t="str">
        <f>'CL - IFA v6 Smart - AQ'!I259</f>
        <v>Major Must</v>
      </c>
      <c r="C255" s="25" t="str">
        <f>IF('CL - IFA v6 Smart - AQ'!M259 = 0,"",'CL - IFA v6 Smart - AQ'!M259)</f>
        <v>not answered/error</v>
      </c>
      <c r="D255" s="25" t="str">
        <f>IF('CL - IFA v6 Smart - AQ'!Q259 = 0, "",'CL - IFA v6 Smart - AQ'!Q259)</f>
        <v/>
      </c>
      <c r="E255" s="26" t="str">
        <f>IF('CL - IFA v6 Smart - AQ'!R259 = 0,"",'CL - IFA v6 Smart - AQ'!R259)</f>
        <v/>
      </c>
      <c r="F255" s="1"/>
      <c r="G255" s="1"/>
      <c r="H255" s="25" t="str">
        <f>IF('Audit Result'!C255 = "No", IF('Audit Result'!G255 = "x", "Closed", "Open"), "")</f>
        <v/>
      </c>
      <c r="I255" s="1"/>
      <c r="J255" s="1"/>
      <c r="K255" s="1"/>
    </row>
    <row r="256" spans="1:11" x14ac:dyDescent="0.3">
      <c r="A256" s="25" t="str">
        <f>'CL - IFA v6 Smart - AQ'!D260</f>
        <v>AQ-Smart 28.05.02</v>
      </c>
      <c r="B256" s="25" t="str">
        <f>'CL - IFA v6 Smart - AQ'!I260</f>
        <v>Major Must</v>
      </c>
      <c r="C256" s="25" t="str">
        <f>IF('CL - IFA v6 Smart - AQ'!M260 = 0,"",'CL - IFA v6 Smart - AQ'!M260)</f>
        <v>not answered/error</v>
      </c>
      <c r="D256" s="25" t="str">
        <f>IF('CL - IFA v6 Smart - AQ'!Q260 = 0, "",'CL - IFA v6 Smart - AQ'!Q260)</f>
        <v/>
      </c>
      <c r="E256" s="26" t="str">
        <f>IF('CL - IFA v6 Smart - AQ'!R260 = 0,"",'CL - IFA v6 Smart - AQ'!R260)</f>
        <v/>
      </c>
      <c r="F256" s="1"/>
      <c r="G256" s="1"/>
      <c r="H256" s="25" t="str">
        <f>IF('Audit Result'!C256 = "No", IF('Audit Result'!G256 = "x", "Closed", "Open"), "")</f>
        <v/>
      </c>
      <c r="I256" s="1"/>
      <c r="J256" s="1"/>
      <c r="K256" s="1"/>
    </row>
    <row r="257" spans="1:11" x14ac:dyDescent="0.3">
      <c r="A257" s="25" t="str">
        <f>'CL - IFA v6 Smart - AQ'!D261</f>
        <v>AQ-Smart 28.05.03</v>
      </c>
      <c r="B257" s="25" t="str">
        <f>'CL - IFA v6 Smart - AQ'!I261</f>
        <v>Major Must</v>
      </c>
      <c r="C257" s="25" t="str">
        <f>IF('CL - IFA v6 Smart - AQ'!M261 = 0,"",'CL - IFA v6 Smart - AQ'!M261)</f>
        <v>not answered/error</v>
      </c>
      <c r="D257" s="25" t="str">
        <f>IF('CL - IFA v6 Smart - AQ'!Q261 = 0, "",'CL - IFA v6 Smart - AQ'!Q261)</f>
        <v/>
      </c>
      <c r="E257" s="26" t="str">
        <f>IF('CL - IFA v6 Smart - AQ'!R261 = 0,"",'CL - IFA v6 Smart - AQ'!R261)</f>
        <v/>
      </c>
      <c r="F257" s="1"/>
      <c r="G257" s="1"/>
      <c r="H257" s="25" t="str">
        <f>IF('Audit Result'!C257 = "No", IF('Audit Result'!G257 = "x", "Closed", "Open"), "")</f>
        <v/>
      </c>
      <c r="I257" s="1"/>
      <c r="J257" s="1"/>
      <c r="K257" s="1"/>
    </row>
    <row r="258" spans="1:11" x14ac:dyDescent="0.3">
      <c r="A258" s="25" t="str">
        <f>'CL - IFA v6 Smart - AQ'!D262</f>
        <v>AQ-Smart 28.05.04</v>
      </c>
      <c r="B258" s="25" t="str">
        <f>'CL - IFA v6 Smart - AQ'!I262</f>
        <v>Major Must</v>
      </c>
      <c r="C258" s="25" t="str">
        <f>IF('CL - IFA v6 Smart - AQ'!M262 = 0,"",'CL - IFA v6 Smart - AQ'!M262)</f>
        <v>not answered/error</v>
      </c>
      <c r="D258" s="25" t="str">
        <f>IF('CL - IFA v6 Smart - AQ'!Q262 = 0, "",'CL - IFA v6 Smart - AQ'!Q262)</f>
        <v/>
      </c>
      <c r="E258" s="26" t="str">
        <f>IF('CL - IFA v6 Smart - AQ'!R262 = 0,"",'CL - IFA v6 Smart - AQ'!R262)</f>
        <v/>
      </c>
      <c r="F258" s="1"/>
      <c r="G258" s="1"/>
      <c r="H258" s="25" t="str">
        <f>IF('Audit Result'!C258 = "No", IF('Audit Result'!G258 = "x", "Closed", "Open"), "")</f>
        <v/>
      </c>
      <c r="I258" s="1"/>
      <c r="J258" s="1"/>
      <c r="K258" s="1"/>
    </row>
    <row r="259" spans="1:11" x14ac:dyDescent="0.3">
      <c r="A259" s="25" t="str">
        <f>'CL - IFA v6 Smart - AQ'!D263</f>
        <v>AQ-Smart 28.05.05</v>
      </c>
      <c r="B259" s="25" t="str">
        <f>'CL - IFA v6 Smart - AQ'!I263</f>
        <v>Major Must</v>
      </c>
      <c r="C259" s="25" t="str">
        <f>IF('CL - IFA v6 Smart - AQ'!M263 = 0,"",'CL - IFA v6 Smart - AQ'!M263)</f>
        <v>not answered/error</v>
      </c>
      <c r="D259" s="25" t="str">
        <f>IF('CL - IFA v6 Smart - AQ'!Q263 = 0, "",'CL - IFA v6 Smart - AQ'!Q263)</f>
        <v/>
      </c>
      <c r="E259" s="26" t="str">
        <f>IF('CL - IFA v6 Smart - AQ'!R263 = 0,"",'CL - IFA v6 Smart - AQ'!R263)</f>
        <v/>
      </c>
      <c r="F259" s="1"/>
      <c r="G259" s="1"/>
      <c r="H259" s="25" t="str">
        <f>IF('Audit Result'!C259 = "No", IF('Audit Result'!G259 = "x", "Closed", "Open"), "")</f>
        <v/>
      </c>
      <c r="I259" s="1"/>
      <c r="J259" s="1"/>
      <c r="K259" s="1"/>
    </row>
    <row r="260" spans="1:11" x14ac:dyDescent="0.3">
      <c r="A260" s="25" t="str">
        <f>'CL - IFA v6 Smart - AQ'!D264</f>
        <v>AQ-Smart 28.05.06</v>
      </c>
      <c r="B260" s="25" t="str">
        <f>'CL - IFA v6 Smart - AQ'!I264</f>
        <v>Major Must</v>
      </c>
      <c r="C260" s="25" t="str">
        <f>IF('CL - IFA v6 Smart - AQ'!M264 = 0,"",'CL - IFA v6 Smart - AQ'!M264)</f>
        <v>not answered/error</v>
      </c>
      <c r="D260" s="25" t="str">
        <f>IF('CL - IFA v6 Smart - AQ'!Q264 = 0, "",'CL - IFA v6 Smart - AQ'!Q264)</f>
        <v/>
      </c>
      <c r="E260" s="26" t="str">
        <f>IF('CL - IFA v6 Smart - AQ'!R264 = 0,"",'CL - IFA v6 Smart - AQ'!R264)</f>
        <v/>
      </c>
      <c r="F260" s="1"/>
      <c r="G260" s="1"/>
      <c r="H260" s="25" t="str">
        <f>IF('Audit Result'!C260 = "No", IF('Audit Result'!G260 = "x", "Closed", "Open"), "")</f>
        <v/>
      </c>
      <c r="I260" s="1"/>
      <c r="J260" s="1"/>
      <c r="K260" s="1"/>
    </row>
    <row r="261" spans="1:11" x14ac:dyDescent="0.3">
      <c r="A261" s="25" t="str">
        <f>'CL - IFA v6 Smart - AQ'!D265</f>
        <v>AQ-Smart 28.06.01</v>
      </c>
      <c r="B261" s="25" t="str">
        <f>'CL - IFA v6 Smart - AQ'!I265</f>
        <v>Major Must</v>
      </c>
      <c r="C261" s="25" t="str">
        <f>IF('CL - IFA v6 Smart - AQ'!M265 = 0,"",'CL - IFA v6 Smart - AQ'!M265)</f>
        <v>not answered/error</v>
      </c>
      <c r="D261" s="25" t="str">
        <f>IF('CL - IFA v6 Smart - AQ'!Q265 = 0, "",'CL - IFA v6 Smart - AQ'!Q265)</f>
        <v/>
      </c>
      <c r="E261" s="26" t="str">
        <f>IF('CL - IFA v6 Smart - AQ'!R265 = 0,"",'CL - IFA v6 Smart - AQ'!R265)</f>
        <v/>
      </c>
      <c r="F261" s="1"/>
      <c r="G261" s="1"/>
      <c r="H261" s="25" t="str">
        <f>IF('Audit Result'!C261 = "No", IF('Audit Result'!G261 = "x", "Closed", "Open"), "")</f>
        <v/>
      </c>
      <c r="I261" s="1"/>
      <c r="J261" s="1"/>
      <c r="K261" s="1"/>
    </row>
    <row r="262" spans="1:11" x14ac:dyDescent="0.3">
      <c r="A262" s="25" t="str">
        <f>'CL - IFA v6 Smart - AQ'!D266</f>
        <v>AQ-Smart 28.06.02</v>
      </c>
      <c r="B262" s="25" t="str">
        <f>'CL - IFA v6 Smart - AQ'!I266</f>
        <v>Major Must</v>
      </c>
      <c r="C262" s="25" t="str">
        <f>IF('CL - IFA v6 Smart - AQ'!M266 = 0,"",'CL - IFA v6 Smart - AQ'!M266)</f>
        <v>not answered/error</v>
      </c>
      <c r="D262" s="25" t="str">
        <f>IF('CL - IFA v6 Smart - AQ'!Q266 = 0, "",'CL - IFA v6 Smart - AQ'!Q266)</f>
        <v/>
      </c>
      <c r="E262" s="26" t="str">
        <f>IF('CL - IFA v6 Smart - AQ'!R266 = 0,"",'CL - IFA v6 Smart - AQ'!R266)</f>
        <v/>
      </c>
      <c r="F262" s="1"/>
      <c r="G262" s="1"/>
      <c r="H262" s="25" t="str">
        <f>IF('Audit Result'!C262 = "No", IF('Audit Result'!G262 = "x", "Closed", "Open"), "")</f>
        <v/>
      </c>
      <c r="I262" s="1"/>
      <c r="J262" s="1"/>
      <c r="K262" s="1"/>
    </row>
    <row r="273" spans="1:8" x14ac:dyDescent="0.3">
      <c r="A273" s="51" t="s">
        <v>909</v>
      </c>
      <c r="B273" s="52"/>
      <c r="C273" s="52"/>
      <c r="D273" s="52"/>
      <c r="E273" s="52"/>
      <c r="F273" s="52"/>
      <c r="G273" s="52"/>
      <c r="H273" s="52"/>
    </row>
    <row r="274" spans="1:8" x14ac:dyDescent="0.3">
      <c r="A274" s="51" t="s">
        <v>910</v>
      </c>
      <c r="B274" s="52"/>
      <c r="C274" s="52"/>
      <c r="D274" s="52"/>
      <c r="E274" s="52"/>
      <c r="F274" s="52"/>
      <c r="G274" s="52"/>
      <c r="H274" s="52"/>
    </row>
    <row r="275" spans="1:8" x14ac:dyDescent="0.3">
      <c r="A275" s="25" t="s">
        <v>911</v>
      </c>
      <c r="B275" s="25" t="s">
        <v>912</v>
      </c>
      <c r="C275" s="25" t="s">
        <v>87</v>
      </c>
      <c r="D275" s="25" t="s">
        <v>88</v>
      </c>
      <c r="E275" s="25" t="s">
        <v>89</v>
      </c>
      <c r="F275" s="25" t="s">
        <v>913</v>
      </c>
      <c r="G275" s="25" t="s">
        <v>914</v>
      </c>
      <c r="H275" s="25" t="s">
        <v>915</v>
      </c>
    </row>
    <row r="276" spans="1:8" x14ac:dyDescent="0.3">
      <c r="A276" s="25" t="s">
        <v>916</v>
      </c>
      <c r="B276">
        <f>COUNTIF('CL - IFA v6 Smart - AQ'!I10:'CL - IFA v6 Smart - AQ'!I266, "Major Must")</f>
        <v>230</v>
      </c>
      <c r="C276">
        <f>COUNTIFS('CL - IFA v6 Smart - AQ'!I10:'CL - IFA v6 Smart - AQ'!I266, "Major Must",'CL - IFA v6 Smart - AQ'!M10:'CL - IFA v6 Smart - AQ'!M266, "Yes")</f>
        <v>0</v>
      </c>
      <c r="D276">
        <f>COUNTIFS('CL - IFA v6 Smart - AQ'!I10:'CL - IFA v6 Smart - AQ'!I266, "Major Must",'CL - IFA v6 Smart - AQ'!M10:'CL - IFA v6 Smart - AQ'!M266, "No")</f>
        <v>0</v>
      </c>
      <c r="E276">
        <f>COUNTIFS('CL - IFA v6 Smart - AQ'!I10:'CL - IFA v6 Smart - AQ'!I266, "Major Must",'CL - IFA v6 Smart - AQ'!M10:'CL - IFA v6 Smart - AQ'!M266, "N/A")</f>
        <v>0</v>
      </c>
      <c r="F276">
        <f>B276-(C276+D276+E276)</f>
        <v>230</v>
      </c>
      <c r="G276"/>
      <c r="H276" s="27" t="str">
        <f>IFERROR(IF((C276+G276)/(B276-E276) = 0, " - ",  (C276+G276)/(B276-E276))," - ")</f>
        <v xml:space="preserve"> - </v>
      </c>
    </row>
    <row r="277" spans="1:8" x14ac:dyDescent="0.3">
      <c r="A277" s="25" t="s">
        <v>917</v>
      </c>
      <c r="B277">
        <f>COUNTIF('CL - IFA v6 Smart - AQ'!I10:'CL - IFA v6 Smart - AQ'!I266, "Minor Must")</f>
        <v>22</v>
      </c>
      <c r="C277">
        <f>COUNTIFS('CL - IFA v6 Smart - AQ'!I10:'CL - IFA v6 Smart - AQ'!I266, "Minor Must",'CL - IFA v6 Smart - AQ'!M10:'CL - IFA v6 Smart - AQ'!M266, "Yes")</f>
        <v>0</v>
      </c>
      <c r="D277">
        <f>COUNTIFS('CL - IFA v6 Smart - AQ'!I10:'CL - IFA v6 Smart - AQ'!I266, "Minor Must",'CL - IFA v6 Smart - AQ'!M10:'CL - IFA v6 Smart - AQ'!M266, "No")</f>
        <v>0</v>
      </c>
      <c r="E277">
        <f>COUNTIFS('CL - IFA v6 Smart - AQ'!I10:'CL - IFA v6 Smart - AQ'!I266, "Minor Must",'CL - IFA v6 Smart - AQ'!M10:'CL - IFA v6 Smart - AQ'!M266, "N/A")</f>
        <v>0</v>
      </c>
      <c r="F277">
        <f>B277-(C277+D277+E277)</f>
        <v>22</v>
      </c>
      <c r="G277"/>
      <c r="H277" s="27" t="str">
        <f>IFERROR(IF((C277+G277)/(B277-E277) = 0, " - ",  (C277+G277)/(B277-E277))," - ")</f>
        <v xml:space="preserve"> - </v>
      </c>
    </row>
    <row r="278" spans="1:8" x14ac:dyDescent="0.3">
      <c r="A278" s="25" t="s">
        <v>266</v>
      </c>
      <c r="B278">
        <f>COUNTIF('CL - IFA v6 Smart - AQ'!I10:'CL - IFA v6 Smart - AQ'!I266, "Recommendation")</f>
        <v>5</v>
      </c>
      <c r="C278">
        <f>COUNTIFS('CL - IFA v6 Smart - AQ'!I10:'CL - IFA v6 Smart - AQ'!I266, "Recommendation",'CL - IFA v6 Smart - AQ'!M10:'CL - IFA v6 Smart - AQ'!M266, "Yes")</f>
        <v>0</v>
      </c>
      <c r="D278">
        <f>COUNTIFS('CL - IFA v6 Smart - AQ'!I10:'CL - IFA v6 Smart - AQ'!I266, "Recommendation",'CL - IFA v6 Smart - AQ'!M10:'CL - IFA v6 Smart - AQ'!M266, "No")</f>
        <v>0</v>
      </c>
      <c r="E278">
        <f>COUNTIFS('CL - IFA v6 Smart - AQ'!I10:'CL - IFA v6 Smart - AQ'!I266, "Recommendation",'CL - IFA v6 Smart - AQ'!M10:'CL - IFA v6 Smart - AQ'!M266, "N/A")</f>
        <v>0</v>
      </c>
      <c r="F278">
        <f>B278-(C278+D278+E278)</f>
        <v>5</v>
      </c>
      <c r="G278"/>
      <c r="H278" s="27" t="str">
        <f>IFERROR(IF((C278+G278)/(B278-E278) = 0, " - ",  (C278+G278)/(B278-E278))," - ")</f>
        <v xml:space="preserve"> - </v>
      </c>
    </row>
    <row r="280" spans="1:8" x14ac:dyDescent="0.3">
      <c r="A280" s="51" t="s">
        <v>918</v>
      </c>
      <c r="B280" s="52"/>
      <c r="C280" s="52"/>
      <c r="D280" s="52"/>
      <c r="E280" s="52"/>
      <c r="F280" s="52"/>
      <c r="G280" s="52"/>
      <c r="H280" s="52"/>
    </row>
    <row r="281" spans="1:8" x14ac:dyDescent="0.3">
      <c r="A281" s="25" t="s">
        <v>911</v>
      </c>
      <c r="B281" s="25" t="s">
        <v>912</v>
      </c>
      <c r="C281" s="25" t="s">
        <v>87</v>
      </c>
      <c r="D281" s="25" t="s">
        <v>88</v>
      </c>
      <c r="E281" s="25" t="s">
        <v>89</v>
      </c>
      <c r="F281" s="25" t="s">
        <v>913</v>
      </c>
      <c r="G281" s="25" t="s">
        <v>914</v>
      </c>
      <c r="H281" s="25" t="s">
        <v>915</v>
      </c>
    </row>
    <row r="282" spans="1:8" x14ac:dyDescent="0.3">
      <c r="A282" s="25" t="s">
        <v>916</v>
      </c>
      <c r="B282">
        <f>COUNTIF('CL - IFA v6 Smart - AQ'!I10:'CL - IFA v6 Smart - AQ'!I266, "Major Must")</f>
        <v>230</v>
      </c>
      <c r="C282">
        <f>COUNTIFS('CL - IFA v6 Smart - AQ'!I10:'CL - IFA v6 Smart - AQ'!I266, "Major Must",'CL - IFA v6 Smart - AQ'!M10:'CL - IFA v6 Smart - AQ'!M266, "Yes")</f>
        <v>0</v>
      </c>
      <c r="D282">
        <f>COUNTIFS('CL - IFA v6 Smart - AQ'!I10:'CL - IFA v6 Smart - AQ'!I266, "Major Must",'CL - IFA v6 Smart - AQ'!M10:'CL - IFA v6 Smart - AQ'!M266, "No")</f>
        <v>0</v>
      </c>
      <c r="E282">
        <f>COUNTIFS('CL - IFA v6 Smart - AQ'!I10:'CL - IFA v6 Smart - AQ'!I266, "Major Must",'CL - IFA v6 Smart - AQ'!M10:'CL - IFA v6 Smart - AQ'!M266, "N/A")</f>
        <v>0</v>
      </c>
      <c r="F282">
        <f>B282-(C282+D282+E282)</f>
        <v>230</v>
      </c>
      <c r="G282">
        <f>COUNTIFS(B6:B262,"Major Must",H6:H262, "Closed")</f>
        <v>0</v>
      </c>
      <c r="H282" s="27" t="str">
        <f>IFERROR(IF((C282+G282)/(B282-E282) = 0, " - ",  (C282+G282)/(B282-E282))," - ")</f>
        <v xml:space="preserve"> - </v>
      </c>
    </row>
    <row r="283" spans="1:8" x14ac:dyDescent="0.3">
      <c r="A283" s="25" t="s">
        <v>917</v>
      </c>
      <c r="B283">
        <f>COUNTIF('CL - IFA v6 Smart - AQ'!I10:'CL - IFA v6 Smart - AQ'!I266, "Minor Must")</f>
        <v>22</v>
      </c>
      <c r="C283">
        <f>COUNTIFS('CL - IFA v6 Smart - AQ'!I10:'CL - IFA v6 Smart - AQ'!I266, "Minor Must",'CL - IFA v6 Smart - AQ'!M10:'CL - IFA v6 Smart - AQ'!M266, "Yes")</f>
        <v>0</v>
      </c>
      <c r="D283">
        <f>COUNTIFS('CL - IFA v6 Smart - AQ'!I10:'CL - IFA v6 Smart - AQ'!I266, "Minor Must",'CL - IFA v6 Smart - AQ'!M10:'CL - IFA v6 Smart - AQ'!M266, "No")</f>
        <v>0</v>
      </c>
      <c r="E283">
        <f>COUNTIFS('CL - IFA v6 Smart - AQ'!I10:'CL - IFA v6 Smart - AQ'!I266, "Minor Must",'CL - IFA v6 Smart - AQ'!M10:'CL - IFA v6 Smart - AQ'!M266, "N/A")</f>
        <v>0</v>
      </c>
      <c r="F283">
        <f>B283-(C283+D283+E283)</f>
        <v>22</v>
      </c>
      <c r="G283">
        <f>COUNTIFS(B6:B262,"Minor Must",H6:H262, "Closed")</f>
        <v>0</v>
      </c>
      <c r="H283" s="27" t="str">
        <f>IFERROR(IF((C283+G283)/(B283-E283) = 0, " - ",  (C283+G283)/(B283-E283))," - ")</f>
        <v xml:space="preserve"> - </v>
      </c>
    </row>
    <row r="284" spans="1:8" x14ac:dyDescent="0.3">
      <c r="A284" s="25" t="s">
        <v>266</v>
      </c>
      <c r="B284">
        <f>COUNTIF('CL - IFA v6 Smart - AQ'!I10:'CL - IFA v6 Smart - AQ'!I266, "Recommendation")</f>
        <v>5</v>
      </c>
      <c r="C284">
        <f>COUNTIFS('CL - IFA v6 Smart - AQ'!I10:'CL - IFA v6 Smart - AQ'!I266, "Recommendation",'CL - IFA v6 Smart - AQ'!M10:'CL - IFA v6 Smart - AQ'!M266, "Yes")</f>
        <v>0</v>
      </c>
      <c r="D284">
        <f>COUNTIFS('CL - IFA v6 Smart - AQ'!I10:'CL - IFA v6 Smart - AQ'!I266, "Recommendation",'CL - IFA v6 Smart - AQ'!M10:'CL - IFA v6 Smart - AQ'!M266, "No")</f>
        <v>0</v>
      </c>
      <c r="E284">
        <f>COUNTIFS('CL - IFA v6 Smart - AQ'!I10:'CL - IFA v6 Smart - AQ'!I266, "Recommendation",'CL - IFA v6 Smart - AQ'!M10:'CL - IFA v6 Smart - AQ'!M266, "N/A")</f>
        <v>0</v>
      </c>
      <c r="F284">
        <f>B284-(C284+D284+E284)</f>
        <v>5</v>
      </c>
      <c r="G284">
        <f>COUNTIFS(B6:B262,"Recommendation",H6:H262, "Closed")</f>
        <v>0</v>
      </c>
      <c r="H284" s="27" t="str">
        <f>IFERROR(IF((C284+G284)/(B284-E284) = 0, " - ",  (C284+G284)/(B284-E284))," - ")</f>
        <v xml:space="preserve"> - </v>
      </c>
    </row>
  </sheetData>
  <sheetProtection algorithmName="SHA-512" hashValue="QMV2ryJe71v5wOyRu9LskhdpaGVGrRYVPkEXPodrgyIwRJAhUHoTwnJwrTLFSh3Xlo7XD2cfTX3DnrevGr6wkA==" saltValue="VvyfNP27iqvOVlMRCEbUng==" spinCount="100000" sheet="1" formatCells="0" formatColumns="0" formatRows="0" sort="0" autoFilter="0"/>
  <autoFilter ref="A5:K5" xr:uid="{00000000-0009-0000-0000-000004000000}"/>
  <mergeCells count="3">
    <mergeCell ref="A273:H273"/>
    <mergeCell ref="A274:H274"/>
    <mergeCell ref="A280:H28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51"/>
  <sheetViews>
    <sheetView workbookViewId="0">
      <selection activeCell="Q1" sqref="A1:Q51"/>
    </sheetView>
  </sheetViews>
  <sheetFormatPr defaultColWidth="9.109375" defaultRowHeight="14.4" x14ac:dyDescent="0.3"/>
  <cols>
    <col min="1" max="16384" width="9.109375" style="2"/>
  </cols>
  <sheetData>
    <row r="1" spans="1:17" x14ac:dyDescent="0.3">
      <c r="A1" s="13"/>
      <c r="B1"/>
      <c r="C1"/>
      <c r="D1"/>
      <c r="E1"/>
      <c r="F1"/>
      <c r="G1"/>
      <c r="H1"/>
      <c r="I1"/>
      <c r="J1"/>
      <c r="K1"/>
      <c r="L1"/>
      <c r="M1"/>
      <c r="N1"/>
      <c r="O1"/>
      <c r="P1"/>
      <c r="Q1"/>
    </row>
    <row r="2" spans="1:17" x14ac:dyDescent="0.3">
      <c r="A2" s="14"/>
      <c r="B2"/>
      <c r="C2"/>
      <c r="D2"/>
      <c r="E2"/>
      <c r="F2"/>
      <c r="G2"/>
      <c r="H2"/>
      <c r="I2"/>
      <c r="J2"/>
      <c r="K2"/>
      <c r="L2"/>
      <c r="M2"/>
      <c r="N2"/>
      <c r="O2"/>
      <c r="P2"/>
      <c r="Q2"/>
    </row>
    <row r="3" spans="1:17" x14ac:dyDescent="0.3">
      <c r="A3" s="14"/>
      <c r="B3"/>
      <c r="C3"/>
      <c r="D3"/>
      <c r="E3"/>
      <c r="F3"/>
      <c r="G3"/>
      <c r="H3"/>
      <c r="I3"/>
      <c r="J3"/>
      <c r="K3"/>
      <c r="L3"/>
      <c r="M3"/>
      <c r="N3"/>
      <c r="O3"/>
      <c r="P3"/>
      <c r="Q3"/>
    </row>
    <row r="4" spans="1:17" x14ac:dyDescent="0.3">
      <c r="A4" s="14"/>
      <c r="B4"/>
      <c r="C4"/>
      <c r="D4"/>
      <c r="E4"/>
      <c r="F4"/>
      <c r="G4"/>
      <c r="H4"/>
      <c r="I4"/>
      <c r="J4"/>
      <c r="K4"/>
      <c r="L4"/>
      <c r="M4"/>
      <c r="N4"/>
      <c r="O4"/>
      <c r="P4"/>
      <c r="Q4"/>
    </row>
    <row r="5" spans="1:17" x14ac:dyDescent="0.3">
      <c r="A5" s="14"/>
      <c r="B5"/>
      <c r="C5"/>
      <c r="D5"/>
      <c r="E5"/>
      <c r="F5"/>
      <c r="G5"/>
      <c r="H5"/>
      <c r="I5"/>
      <c r="J5"/>
      <c r="K5"/>
      <c r="L5"/>
      <c r="M5"/>
      <c r="N5"/>
      <c r="O5"/>
      <c r="P5"/>
      <c r="Q5"/>
    </row>
    <row r="6" spans="1:17" x14ac:dyDescent="0.3">
      <c r="A6" s="14"/>
      <c r="B6"/>
      <c r="C6"/>
      <c r="D6"/>
      <c r="E6"/>
      <c r="F6"/>
      <c r="G6"/>
      <c r="H6"/>
      <c r="I6"/>
      <c r="J6"/>
      <c r="K6"/>
      <c r="L6"/>
      <c r="M6"/>
      <c r="N6"/>
      <c r="O6"/>
      <c r="P6"/>
      <c r="Q6"/>
    </row>
    <row r="7" spans="1:17" x14ac:dyDescent="0.3">
      <c r="A7" s="14"/>
      <c r="B7"/>
      <c r="C7"/>
      <c r="D7"/>
      <c r="E7"/>
      <c r="F7"/>
      <c r="G7"/>
      <c r="H7"/>
      <c r="I7"/>
      <c r="J7"/>
      <c r="K7"/>
      <c r="L7"/>
      <c r="M7"/>
      <c r="N7"/>
      <c r="O7"/>
      <c r="P7"/>
      <c r="Q7"/>
    </row>
    <row r="8" spans="1:17" x14ac:dyDescent="0.3">
      <c r="A8" s="14"/>
      <c r="B8"/>
      <c r="C8"/>
      <c r="D8"/>
      <c r="E8"/>
      <c r="F8"/>
      <c r="G8"/>
      <c r="H8"/>
      <c r="I8"/>
      <c r="J8"/>
      <c r="K8"/>
      <c r="L8"/>
      <c r="M8"/>
      <c r="N8"/>
      <c r="O8"/>
      <c r="P8"/>
      <c r="Q8"/>
    </row>
    <row r="9" spans="1:17" x14ac:dyDescent="0.3">
      <c r="A9" s="14"/>
      <c r="B9"/>
      <c r="C9"/>
      <c r="D9"/>
      <c r="E9"/>
      <c r="F9"/>
      <c r="G9"/>
      <c r="H9"/>
      <c r="I9"/>
      <c r="J9"/>
      <c r="K9"/>
      <c r="L9"/>
      <c r="M9"/>
      <c r="N9"/>
      <c r="O9"/>
      <c r="P9"/>
      <c r="Q9"/>
    </row>
    <row r="10" spans="1:17" x14ac:dyDescent="0.3">
      <c r="A10" s="14"/>
      <c r="B10"/>
      <c r="C10"/>
      <c r="D10"/>
      <c r="E10"/>
      <c r="F10"/>
      <c r="G10"/>
      <c r="H10"/>
      <c r="I10"/>
      <c r="J10"/>
      <c r="K10"/>
      <c r="L10"/>
      <c r="M10"/>
      <c r="N10"/>
      <c r="O10"/>
      <c r="P10"/>
      <c r="Q10"/>
    </row>
    <row r="11" spans="1:17" x14ac:dyDescent="0.3">
      <c r="A11" s="14"/>
      <c r="B11"/>
      <c r="C11"/>
      <c r="D11"/>
      <c r="E11"/>
      <c r="F11"/>
      <c r="G11"/>
      <c r="H11"/>
      <c r="I11"/>
      <c r="J11"/>
      <c r="K11"/>
      <c r="L11"/>
      <c r="M11"/>
      <c r="N11"/>
      <c r="O11"/>
      <c r="P11"/>
      <c r="Q11"/>
    </row>
    <row r="12" spans="1:17" x14ac:dyDescent="0.3">
      <c r="A12" s="14"/>
      <c r="B12"/>
      <c r="C12"/>
      <c r="D12"/>
      <c r="E12"/>
      <c r="F12"/>
      <c r="G12"/>
      <c r="H12"/>
      <c r="I12"/>
      <c r="J12"/>
      <c r="K12"/>
      <c r="L12"/>
      <c r="M12"/>
      <c r="N12"/>
      <c r="O12"/>
      <c r="P12"/>
      <c r="Q12"/>
    </row>
    <row r="13" spans="1:17" x14ac:dyDescent="0.3">
      <c r="A13" s="14"/>
      <c r="B13"/>
      <c r="C13"/>
      <c r="D13"/>
      <c r="E13"/>
      <c r="F13"/>
      <c r="G13"/>
      <c r="H13"/>
      <c r="I13"/>
      <c r="J13"/>
      <c r="K13"/>
      <c r="L13"/>
      <c r="M13"/>
      <c r="N13"/>
      <c r="O13"/>
      <c r="P13"/>
      <c r="Q13"/>
    </row>
    <row r="14" spans="1:17" x14ac:dyDescent="0.3">
      <c r="A14" s="14"/>
      <c r="B14"/>
      <c r="C14"/>
      <c r="D14"/>
      <c r="E14"/>
      <c r="F14"/>
      <c r="G14"/>
      <c r="H14"/>
      <c r="I14"/>
      <c r="J14"/>
      <c r="K14"/>
      <c r="L14"/>
      <c r="M14"/>
      <c r="N14"/>
      <c r="O14"/>
      <c r="P14"/>
      <c r="Q14"/>
    </row>
    <row r="15" spans="1:17" x14ac:dyDescent="0.3">
      <c r="A15" s="14"/>
      <c r="B15"/>
      <c r="C15"/>
      <c r="D15"/>
      <c r="E15"/>
      <c r="F15"/>
      <c r="G15"/>
      <c r="H15"/>
      <c r="I15"/>
      <c r="J15"/>
      <c r="K15"/>
      <c r="L15"/>
      <c r="M15"/>
      <c r="N15"/>
      <c r="O15"/>
      <c r="P15"/>
      <c r="Q15"/>
    </row>
    <row r="16" spans="1:17" x14ac:dyDescent="0.3">
      <c r="A16" s="15"/>
      <c r="B16"/>
      <c r="C16"/>
      <c r="D16"/>
      <c r="E16"/>
      <c r="F16"/>
      <c r="G16"/>
      <c r="H16"/>
      <c r="I16"/>
      <c r="J16"/>
      <c r="K16"/>
      <c r="L16"/>
      <c r="M16"/>
      <c r="N16"/>
      <c r="O16"/>
      <c r="P16"/>
      <c r="Q16"/>
    </row>
    <row r="17" spans="1:17" x14ac:dyDescent="0.3">
      <c r="A17" s="16"/>
      <c r="B17"/>
      <c r="C17"/>
      <c r="D17"/>
      <c r="E17"/>
      <c r="F17"/>
      <c r="G17"/>
      <c r="H17"/>
      <c r="I17"/>
      <c r="J17"/>
      <c r="K17"/>
      <c r="L17"/>
      <c r="M17"/>
      <c r="N17"/>
      <c r="O17"/>
      <c r="P17"/>
      <c r="Q17"/>
    </row>
    <row r="18" spans="1:17" x14ac:dyDescent="0.3">
      <c r="A18" s="14"/>
      <c r="B18"/>
      <c r="C18"/>
      <c r="D18"/>
      <c r="E18"/>
      <c r="F18"/>
      <c r="G18"/>
      <c r="H18"/>
      <c r="I18"/>
      <c r="J18"/>
      <c r="K18"/>
      <c r="L18"/>
      <c r="M18"/>
      <c r="N18"/>
      <c r="O18"/>
      <c r="P18"/>
      <c r="Q18"/>
    </row>
    <row r="19" spans="1:17" x14ac:dyDescent="0.3">
      <c r="A19" s="17"/>
      <c r="B19"/>
      <c r="C19"/>
      <c r="D19"/>
      <c r="E19"/>
      <c r="F19"/>
      <c r="G19"/>
      <c r="H19"/>
      <c r="I19"/>
      <c r="J19"/>
      <c r="K19"/>
      <c r="L19"/>
      <c r="M19"/>
      <c r="N19"/>
      <c r="O19"/>
      <c r="P19"/>
      <c r="Q19"/>
    </row>
    <row r="20" spans="1:17" x14ac:dyDescent="0.3">
      <c r="A20" s="18"/>
      <c r="B20"/>
      <c r="C20"/>
      <c r="D20"/>
      <c r="E20"/>
      <c r="F20"/>
      <c r="G20"/>
      <c r="H20"/>
      <c r="I20"/>
      <c r="J20"/>
      <c r="K20"/>
      <c r="L20"/>
      <c r="M20"/>
      <c r="N20"/>
      <c r="O20"/>
      <c r="P20"/>
      <c r="Q20"/>
    </row>
    <row r="21" spans="1:17" x14ac:dyDescent="0.3">
      <c r="A21" s="14"/>
      <c r="B21"/>
      <c r="C21"/>
      <c r="D21"/>
      <c r="E21"/>
      <c r="F21"/>
      <c r="G21"/>
      <c r="H21"/>
      <c r="I21"/>
      <c r="J21"/>
      <c r="K21"/>
      <c r="L21"/>
      <c r="M21"/>
      <c r="N21"/>
      <c r="O21"/>
      <c r="P21"/>
      <c r="Q21"/>
    </row>
    <row r="22" spans="1:17" x14ac:dyDescent="0.3">
      <c r="A22" s="19"/>
      <c r="B22"/>
      <c r="C22"/>
      <c r="D22"/>
      <c r="E22"/>
      <c r="F22"/>
      <c r="G22"/>
      <c r="H22"/>
      <c r="I22"/>
      <c r="J22"/>
      <c r="K22"/>
      <c r="L22"/>
      <c r="M22"/>
      <c r="N22"/>
      <c r="O22"/>
      <c r="P22"/>
      <c r="Q22"/>
    </row>
    <row r="23" spans="1:17" x14ac:dyDescent="0.3">
      <c r="A23" s="20"/>
      <c r="B23"/>
      <c r="C23"/>
      <c r="D23"/>
      <c r="E23"/>
      <c r="F23"/>
      <c r="G23"/>
      <c r="H23"/>
      <c r="I23"/>
      <c r="J23"/>
      <c r="K23"/>
      <c r="L23"/>
      <c r="M23"/>
      <c r="N23"/>
      <c r="O23"/>
      <c r="P23"/>
      <c r="Q23"/>
    </row>
    <row r="24" spans="1:17" x14ac:dyDescent="0.3">
      <c r="A24" s="21"/>
      <c r="B24"/>
      <c r="C24"/>
      <c r="D24"/>
      <c r="E24"/>
      <c r="F24"/>
      <c r="G24"/>
      <c r="H24"/>
      <c r="I24"/>
      <c r="J24"/>
      <c r="K24"/>
      <c r="L24"/>
      <c r="M24"/>
      <c r="N24"/>
      <c r="O24"/>
      <c r="P24"/>
      <c r="Q24"/>
    </row>
    <row r="25" spans="1:17" x14ac:dyDescent="0.3">
      <c r="A25" s="22"/>
      <c r="B25"/>
      <c r="C25"/>
      <c r="D25"/>
      <c r="E25"/>
      <c r="F25"/>
      <c r="G25"/>
      <c r="H25"/>
      <c r="I25"/>
      <c r="J25"/>
      <c r="K25"/>
      <c r="L25"/>
      <c r="M25"/>
      <c r="N25"/>
      <c r="O25"/>
      <c r="P25"/>
      <c r="Q25"/>
    </row>
    <row r="26" spans="1:17" x14ac:dyDescent="0.3">
      <c r="A26"/>
      <c r="B26"/>
      <c r="C26"/>
      <c r="D26"/>
      <c r="E26"/>
      <c r="F26"/>
      <c r="G26"/>
      <c r="H26"/>
      <c r="I26"/>
      <c r="J26"/>
      <c r="K26"/>
      <c r="L26"/>
      <c r="M26"/>
      <c r="N26"/>
      <c r="O26"/>
      <c r="P26"/>
      <c r="Q26"/>
    </row>
    <row r="27" spans="1:17" x14ac:dyDescent="0.3">
      <c r="A27" s="23"/>
      <c r="B27"/>
      <c r="C27"/>
      <c r="D27"/>
      <c r="E27"/>
      <c r="F27"/>
      <c r="G27"/>
      <c r="H27"/>
      <c r="I27"/>
      <c r="J27"/>
      <c r="K27"/>
      <c r="L27"/>
      <c r="M27"/>
      <c r="N27"/>
      <c r="O27"/>
      <c r="P27"/>
      <c r="Q27"/>
    </row>
    <row r="28" spans="1:17" x14ac:dyDescent="0.3">
      <c r="A28" s="23"/>
      <c r="B28"/>
      <c r="C28"/>
      <c r="D28"/>
      <c r="E28"/>
      <c r="F28"/>
      <c r="G28"/>
      <c r="H28"/>
      <c r="I28"/>
      <c r="J28"/>
      <c r="K28"/>
      <c r="L28"/>
      <c r="M28"/>
      <c r="N28"/>
      <c r="O28"/>
      <c r="P28"/>
      <c r="Q28"/>
    </row>
    <row r="29" spans="1:17" x14ac:dyDescent="0.3">
      <c r="A29" s="23"/>
      <c r="B29"/>
      <c r="C29"/>
      <c r="D29"/>
      <c r="E29"/>
      <c r="F29"/>
      <c r="G29"/>
      <c r="H29"/>
      <c r="I29"/>
      <c r="J29"/>
      <c r="K29"/>
      <c r="L29"/>
      <c r="M29"/>
      <c r="N29"/>
      <c r="O29"/>
      <c r="P29"/>
      <c r="Q29"/>
    </row>
    <row r="30" spans="1:17" x14ac:dyDescent="0.3">
      <c r="A30"/>
      <c r="B30"/>
      <c r="C30"/>
      <c r="D30"/>
      <c r="E30"/>
      <c r="F30"/>
      <c r="G30"/>
      <c r="H30"/>
      <c r="I30"/>
      <c r="J30"/>
      <c r="K30"/>
      <c r="L30"/>
      <c r="M30"/>
      <c r="N30"/>
      <c r="O30"/>
      <c r="P30"/>
      <c r="Q30"/>
    </row>
    <row r="31" spans="1:17" x14ac:dyDescent="0.3">
      <c r="A31" s="23"/>
      <c r="B31"/>
      <c r="C31"/>
      <c r="D31"/>
      <c r="E31"/>
      <c r="F31"/>
      <c r="G31"/>
      <c r="H31"/>
      <c r="I31"/>
      <c r="J31"/>
      <c r="K31"/>
      <c r="L31"/>
      <c r="M31"/>
      <c r="N31"/>
      <c r="O31"/>
      <c r="P31"/>
      <c r="Q31"/>
    </row>
    <row r="32" spans="1:17" x14ac:dyDescent="0.3">
      <c r="A32" s="23"/>
      <c r="B32"/>
      <c r="C32"/>
      <c r="D32"/>
      <c r="E32"/>
      <c r="F32"/>
      <c r="G32"/>
      <c r="H32"/>
      <c r="I32"/>
      <c r="J32"/>
      <c r="K32"/>
      <c r="L32"/>
      <c r="M32"/>
      <c r="N32"/>
      <c r="O32"/>
      <c r="P32"/>
      <c r="Q32"/>
    </row>
    <row r="33" spans="1:17" x14ac:dyDescent="0.3">
      <c r="A33"/>
      <c r="B33"/>
      <c r="C33"/>
      <c r="D33"/>
      <c r="E33"/>
      <c r="F33"/>
      <c r="G33"/>
      <c r="H33"/>
      <c r="I33"/>
      <c r="J33"/>
      <c r="K33"/>
      <c r="L33"/>
      <c r="M33"/>
      <c r="N33"/>
      <c r="O33"/>
      <c r="P33"/>
      <c r="Q33"/>
    </row>
    <row r="34" spans="1:17" x14ac:dyDescent="0.3">
      <c r="A34"/>
      <c r="B34"/>
      <c r="C34"/>
      <c r="D34"/>
      <c r="E34"/>
      <c r="F34"/>
      <c r="G34"/>
      <c r="H34"/>
      <c r="I34"/>
      <c r="J34"/>
      <c r="K34"/>
      <c r="L34"/>
      <c r="M34"/>
      <c r="N34"/>
      <c r="O34"/>
      <c r="P34"/>
      <c r="Q34"/>
    </row>
    <row r="35" spans="1:17" x14ac:dyDescent="0.3">
      <c r="A35"/>
      <c r="B35"/>
      <c r="C35"/>
      <c r="D35"/>
      <c r="E35"/>
      <c r="F35"/>
      <c r="G35"/>
      <c r="H35"/>
      <c r="I35"/>
      <c r="J35"/>
      <c r="K35"/>
      <c r="L35"/>
      <c r="M35"/>
      <c r="N35"/>
      <c r="O35"/>
      <c r="P35"/>
      <c r="Q35"/>
    </row>
    <row r="36" spans="1:17" x14ac:dyDescent="0.3">
      <c r="A36"/>
      <c r="B36"/>
      <c r="C36"/>
      <c r="D36"/>
      <c r="E36"/>
      <c r="F36"/>
      <c r="G36"/>
      <c r="H36"/>
      <c r="I36"/>
      <c r="J36"/>
      <c r="K36"/>
      <c r="L36"/>
      <c r="M36"/>
      <c r="N36"/>
      <c r="O36"/>
      <c r="P36"/>
      <c r="Q36"/>
    </row>
    <row r="37" spans="1:17" x14ac:dyDescent="0.3">
      <c r="A37"/>
      <c r="B37"/>
      <c r="C37"/>
      <c r="D37"/>
      <c r="E37"/>
      <c r="F37"/>
      <c r="G37"/>
      <c r="H37"/>
      <c r="I37"/>
      <c r="J37"/>
      <c r="K37"/>
      <c r="L37"/>
      <c r="M37"/>
      <c r="N37"/>
      <c r="O37"/>
      <c r="P37"/>
      <c r="Q37"/>
    </row>
    <row r="38" spans="1:17" x14ac:dyDescent="0.3">
      <c r="A38"/>
      <c r="B38"/>
      <c r="C38"/>
      <c r="D38"/>
      <c r="E38"/>
      <c r="F38"/>
      <c r="G38"/>
      <c r="H38"/>
      <c r="I38"/>
      <c r="J38"/>
      <c r="K38"/>
      <c r="L38"/>
      <c r="M38"/>
      <c r="N38"/>
      <c r="O38"/>
      <c r="P38"/>
      <c r="Q38"/>
    </row>
    <row r="39" spans="1:17" x14ac:dyDescent="0.3">
      <c r="A39"/>
      <c r="B39"/>
      <c r="C39"/>
      <c r="D39"/>
      <c r="E39"/>
      <c r="F39"/>
      <c r="G39"/>
      <c r="H39"/>
      <c r="I39"/>
      <c r="J39"/>
      <c r="K39"/>
      <c r="L39"/>
      <c r="M39"/>
      <c r="N39"/>
      <c r="O39"/>
      <c r="P39"/>
      <c r="Q39"/>
    </row>
    <row r="40" spans="1:17" x14ac:dyDescent="0.3">
      <c r="A40"/>
      <c r="B40"/>
      <c r="C40"/>
      <c r="D40"/>
      <c r="E40"/>
      <c r="F40"/>
      <c r="G40"/>
      <c r="H40"/>
      <c r="I40"/>
      <c r="J40"/>
      <c r="K40"/>
      <c r="L40"/>
      <c r="M40"/>
      <c r="N40"/>
      <c r="O40"/>
      <c r="P40"/>
      <c r="Q40"/>
    </row>
    <row r="41" spans="1:17" x14ac:dyDescent="0.3">
      <c r="A41"/>
      <c r="B41"/>
      <c r="C41"/>
      <c r="D41"/>
      <c r="E41"/>
      <c r="F41"/>
      <c r="G41"/>
      <c r="H41"/>
      <c r="I41"/>
      <c r="J41"/>
      <c r="K41"/>
      <c r="L41"/>
      <c r="M41"/>
      <c r="N41"/>
      <c r="O41"/>
      <c r="P41"/>
      <c r="Q41"/>
    </row>
    <row r="42" spans="1:17" x14ac:dyDescent="0.3">
      <c r="A42"/>
      <c r="B42"/>
      <c r="C42"/>
      <c r="D42"/>
      <c r="E42"/>
      <c r="F42"/>
      <c r="G42"/>
      <c r="H42"/>
      <c r="I42"/>
      <c r="J42"/>
      <c r="K42"/>
      <c r="L42"/>
      <c r="M42"/>
      <c r="N42"/>
      <c r="O42"/>
      <c r="P42"/>
      <c r="Q42"/>
    </row>
    <row r="43" spans="1:17" x14ac:dyDescent="0.3">
      <c r="A43"/>
      <c r="B43"/>
      <c r="C43"/>
      <c r="D43"/>
      <c r="E43"/>
      <c r="F43"/>
      <c r="G43"/>
      <c r="H43"/>
      <c r="I43"/>
      <c r="J43"/>
      <c r="K43"/>
      <c r="L43"/>
      <c r="M43"/>
      <c r="N43"/>
      <c r="O43"/>
      <c r="P43"/>
      <c r="Q43"/>
    </row>
    <row r="44" spans="1:17" x14ac:dyDescent="0.3">
      <c r="A44"/>
      <c r="B44"/>
      <c r="C44"/>
      <c r="D44"/>
      <c r="E44"/>
      <c r="F44"/>
      <c r="G44"/>
      <c r="H44"/>
      <c r="I44"/>
      <c r="J44"/>
      <c r="K44"/>
      <c r="L44"/>
      <c r="M44"/>
      <c r="N44"/>
      <c r="O44"/>
      <c r="P44"/>
      <c r="Q44"/>
    </row>
    <row r="45" spans="1:17" x14ac:dyDescent="0.3">
      <c r="A45"/>
      <c r="B45"/>
      <c r="C45"/>
      <c r="D45"/>
      <c r="E45"/>
      <c r="F45"/>
      <c r="G45"/>
      <c r="H45"/>
      <c r="I45"/>
      <c r="J45"/>
      <c r="K45"/>
      <c r="L45"/>
      <c r="M45"/>
      <c r="N45"/>
      <c r="O45"/>
      <c r="P45"/>
      <c r="Q45"/>
    </row>
    <row r="46" spans="1:17" x14ac:dyDescent="0.3">
      <c r="A46"/>
      <c r="B46"/>
      <c r="C46"/>
      <c r="D46"/>
      <c r="E46"/>
      <c r="F46"/>
      <c r="G46"/>
      <c r="H46"/>
      <c r="I46"/>
      <c r="J46"/>
      <c r="K46"/>
      <c r="L46"/>
      <c r="M46"/>
      <c r="N46"/>
      <c r="O46"/>
      <c r="P46"/>
      <c r="Q46"/>
    </row>
    <row r="47" spans="1:17" x14ac:dyDescent="0.3">
      <c r="A47"/>
      <c r="B47"/>
      <c r="C47"/>
      <c r="D47"/>
      <c r="E47"/>
      <c r="F47"/>
      <c r="G47"/>
      <c r="H47"/>
      <c r="I47"/>
      <c r="J47"/>
      <c r="K47"/>
      <c r="L47"/>
      <c r="M47"/>
      <c r="N47"/>
      <c r="O47"/>
      <c r="P47"/>
      <c r="Q47"/>
    </row>
    <row r="48" spans="1:17" x14ac:dyDescent="0.3">
      <c r="A48"/>
      <c r="B48"/>
      <c r="C48"/>
      <c r="D48"/>
      <c r="E48"/>
      <c r="F48"/>
      <c r="G48"/>
      <c r="H48"/>
      <c r="I48"/>
      <c r="J48"/>
      <c r="K48"/>
      <c r="L48"/>
      <c r="M48"/>
      <c r="N48"/>
      <c r="O48"/>
      <c r="P48"/>
      <c r="Q48"/>
    </row>
    <row r="49" spans="1:17" x14ac:dyDescent="0.3">
      <c r="A49"/>
      <c r="B49"/>
      <c r="C49"/>
      <c r="D49"/>
      <c r="E49"/>
      <c r="F49"/>
      <c r="G49"/>
      <c r="H49"/>
      <c r="I49"/>
      <c r="J49"/>
      <c r="K49"/>
      <c r="L49"/>
      <c r="M49"/>
      <c r="N49"/>
      <c r="O49"/>
      <c r="P49"/>
      <c r="Q49"/>
    </row>
    <row r="50" spans="1:17" x14ac:dyDescent="0.3">
      <c r="A50"/>
      <c r="B50"/>
      <c r="C50"/>
      <c r="D50"/>
      <c r="E50"/>
      <c r="F50"/>
      <c r="G50"/>
      <c r="H50"/>
      <c r="I50"/>
      <c r="J50"/>
      <c r="K50"/>
      <c r="L50"/>
      <c r="M50"/>
      <c r="N50"/>
      <c r="O50"/>
      <c r="P50"/>
      <c r="Q50"/>
    </row>
    <row r="51" spans="1:17" x14ac:dyDescent="0.3">
      <c r="A51"/>
      <c r="B51"/>
      <c r="C51"/>
      <c r="D51"/>
      <c r="E51"/>
      <c r="F51"/>
      <c r="G51"/>
      <c r="H51"/>
      <c r="I51"/>
      <c r="J51"/>
      <c r="K51"/>
      <c r="L51"/>
      <c r="M51"/>
      <c r="N51"/>
      <c r="O51"/>
      <c r="P51"/>
      <c r="Q51"/>
    </row>
  </sheetData>
  <sheetProtection algorithmName="SHA-512" hashValue="3ydNqeE/rtDzPKlDdaCrSDK54wy7ioMxf/XvLFDtDXKx12ZoOZFag8HIDyJUu62Ujby1VOIttm7hFrELWaLUOQ==" saltValue="w9cSavrRrzpaLAy4ricvfw==" spinCount="100000" sheet="1" formatCells="0" formatColumns="0" formatRows="0" insertColumns="0" insertRows="0" sort="0" autoFilter="0"/>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B6612-9943-4D87-B5D0-5BC1A8C79B97}">
  <dimension ref="A1:K25"/>
  <sheetViews>
    <sheetView zoomScale="70" zoomScaleNormal="70" workbookViewId="0">
      <pane ySplit="3" topLeftCell="A4" activePane="bottomLeft" state="frozen"/>
      <selection pane="bottomLeft" activeCell="E9" sqref="E9"/>
    </sheetView>
  </sheetViews>
  <sheetFormatPr defaultColWidth="8.88671875" defaultRowHeight="14.4" x14ac:dyDescent="0.3"/>
  <cols>
    <col min="1" max="1" width="17.44140625" style="7" customWidth="1"/>
    <col min="2" max="2" width="27" style="7" bestFit="1" customWidth="1"/>
    <col min="3" max="3" width="32.109375" style="7" customWidth="1"/>
    <col min="4" max="4" width="8.88671875" style="7"/>
    <col min="5" max="5" width="20.109375" style="7" customWidth="1"/>
    <col min="6" max="6" width="30.44140625" style="7" customWidth="1"/>
    <col min="7" max="7" width="13.44140625" style="7" customWidth="1"/>
    <col min="8" max="8" width="8.88671875" style="7" customWidth="1"/>
    <col min="9" max="9" width="30.88671875" style="7" customWidth="1"/>
    <col min="10" max="10" width="39.5546875" style="7" customWidth="1"/>
    <col min="11" max="11" width="19.109375" style="7" bestFit="1" customWidth="1"/>
    <col min="12" max="16384" width="8.88671875" style="7"/>
  </cols>
  <sheetData>
    <row r="1" spans="1:11" s="6" customFormat="1" ht="15.6" x14ac:dyDescent="0.3">
      <c r="A1" s="53" t="s">
        <v>919</v>
      </c>
      <c r="B1" s="53"/>
      <c r="C1" s="53"/>
      <c r="E1" s="53" t="s">
        <v>920</v>
      </c>
      <c r="F1" s="53"/>
      <c r="G1" s="53"/>
      <c r="I1" s="53" t="s">
        <v>921</v>
      </c>
      <c r="J1" s="53"/>
      <c r="K1" s="53"/>
    </row>
    <row r="2" spans="1:11" ht="57.75" customHeight="1" x14ac:dyDescent="0.3">
      <c r="A2" s="53"/>
      <c r="B2" s="53"/>
      <c r="C2" s="53"/>
      <c r="D2" s="6"/>
      <c r="E2" s="53"/>
      <c r="F2" s="53"/>
      <c r="G2" s="53"/>
      <c r="I2" s="53"/>
      <c r="J2" s="53"/>
      <c r="K2" s="53"/>
    </row>
    <row r="3" spans="1:11" x14ac:dyDescent="0.3">
      <c r="A3" s="11" t="s">
        <v>922</v>
      </c>
      <c r="B3" s="11" t="s">
        <v>923</v>
      </c>
      <c r="C3" s="11" t="s">
        <v>924</v>
      </c>
      <c r="E3" s="11" t="s">
        <v>922</v>
      </c>
      <c r="F3" s="11" t="s">
        <v>923</v>
      </c>
      <c r="G3" s="11" t="s">
        <v>924</v>
      </c>
      <c r="I3" s="11" t="s">
        <v>922</v>
      </c>
      <c r="J3" s="11" t="s">
        <v>923</v>
      </c>
      <c r="K3" s="11" t="s">
        <v>924</v>
      </c>
    </row>
    <row r="4" spans="1:11" x14ac:dyDescent="0.3">
      <c r="A4" s="12" t="s">
        <v>925</v>
      </c>
      <c r="B4" s="12" t="s">
        <v>926</v>
      </c>
      <c r="C4" s="12" t="s">
        <v>927</v>
      </c>
      <c r="E4" s="12" t="s">
        <v>928</v>
      </c>
      <c r="F4" s="12" t="s">
        <v>929</v>
      </c>
      <c r="G4" s="12" t="s">
        <v>930</v>
      </c>
      <c r="I4" s="12" t="s">
        <v>931</v>
      </c>
      <c r="J4" s="12" t="s">
        <v>932</v>
      </c>
      <c r="K4" s="12" t="s">
        <v>933</v>
      </c>
    </row>
    <row r="5" spans="1:11" x14ac:dyDescent="0.3">
      <c r="A5" s="12" t="s">
        <v>934</v>
      </c>
      <c r="B5" s="12" t="s">
        <v>935</v>
      </c>
      <c r="C5" s="12" t="s">
        <v>930</v>
      </c>
      <c r="E5" s="12" t="s">
        <v>936</v>
      </c>
      <c r="F5" s="12" t="s">
        <v>937</v>
      </c>
      <c r="G5" s="12" t="s">
        <v>930</v>
      </c>
      <c r="I5" s="12" t="s">
        <v>938</v>
      </c>
      <c r="J5" s="12" t="s">
        <v>937</v>
      </c>
      <c r="K5" s="12" t="s">
        <v>930</v>
      </c>
    </row>
    <row r="6" spans="1:11" x14ac:dyDescent="0.3">
      <c r="A6" s="12" t="s">
        <v>939</v>
      </c>
      <c r="B6" s="12" t="s">
        <v>940</v>
      </c>
      <c r="C6" s="12" t="s">
        <v>930</v>
      </c>
      <c r="E6" s="12" t="s">
        <v>941</v>
      </c>
      <c r="F6" s="12" t="s">
        <v>942</v>
      </c>
      <c r="G6" s="12" t="s">
        <v>930</v>
      </c>
      <c r="I6" s="12" t="s">
        <v>943</v>
      </c>
      <c r="J6" s="12" t="s">
        <v>942</v>
      </c>
      <c r="K6" s="12" t="s">
        <v>930</v>
      </c>
    </row>
    <row r="7" spans="1:11" x14ac:dyDescent="0.3">
      <c r="A7" s="12" t="s">
        <v>944</v>
      </c>
      <c r="B7" s="12" t="s">
        <v>945</v>
      </c>
      <c r="C7" s="12" t="s">
        <v>930</v>
      </c>
      <c r="E7" s="12" t="s">
        <v>946</v>
      </c>
      <c r="F7" s="12" t="s">
        <v>947</v>
      </c>
      <c r="G7" s="12" t="s">
        <v>930</v>
      </c>
      <c r="I7" s="12" t="s">
        <v>948</v>
      </c>
      <c r="J7" s="12" t="s">
        <v>947</v>
      </c>
      <c r="K7" s="12" t="s">
        <v>930</v>
      </c>
    </row>
    <row r="8" spans="1:11" x14ac:dyDescent="0.3">
      <c r="A8" s="12" t="s">
        <v>949</v>
      </c>
      <c r="B8" s="12" t="s">
        <v>950</v>
      </c>
      <c r="C8" s="12" t="s">
        <v>930</v>
      </c>
      <c r="E8" s="12" t="s">
        <v>951</v>
      </c>
      <c r="F8" s="12" t="s">
        <v>952</v>
      </c>
      <c r="G8" s="12" t="s">
        <v>930</v>
      </c>
      <c r="I8" s="12" t="s">
        <v>953</v>
      </c>
      <c r="J8" s="12" t="s">
        <v>954</v>
      </c>
      <c r="K8" s="12" t="s">
        <v>930</v>
      </c>
    </row>
    <row r="9" spans="1:11" x14ac:dyDescent="0.3">
      <c r="A9" s="12" t="s">
        <v>955</v>
      </c>
      <c r="B9" s="12" t="s">
        <v>937</v>
      </c>
      <c r="C9" s="12" t="s">
        <v>930</v>
      </c>
      <c r="E9" s="12" t="s">
        <v>956</v>
      </c>
      <c r="F9" s="12" t="s">
        <v>957</v>
      </c>
      <c r="G9" s="12" t="s">
        <v>930</v>
      </c>
      <c r="I9" s="12" t="s">
        <v>958</v>
      </c>
      <c r="J9" s="12" t="s">
        <v>959</v>
      </c>
      <c r="K9" s="12" t="s">
        <v>930</v>
      </c>
    </row>
    <row r="10" spans="1:11" x14ac:dyDescent="0.3">
      <c r="A10" s="12" t="s">
        <v>960</v>
      </c>
      <c r="B10" s="12" t="s">
        <v>942</v>
      </c>
      <c r="C10" s="12" t="s">
        <v>930</v>
      </c>
      <c r="I10" s="12" t="s">
        <v>961</v>
      </c>
      <c r="J10" s="12" t="s">
        <v>962</v>
      </c>
      <c r="K10" s="12" t="s">
        <v>930</v>
      </c>
    </row>
    <row r="11" spans="1:11" x14ac:dyDescent="0.3">
      <c r="A11" s="12" t="s">
        <v>963</v>
      </c>
      <c r="B11" s="12" t="s">
        <v>947</v>
      </c>
      <c r="C11" s="12" t="s">
        <v>930</v>
      </c>
      <c r="I11" s="12" t="s">
        <v>964</v>
      </c>
      <c r="J11" s="12" t="s">
        <v>952</v>
      </c>
      <c r="K11" s="12" t="s">
        <v>930</v>
      </c>
    </row>
    <row r="12" spans="1:11" x14ac:dyDescent="0.3">
      <c r="A12" s="12" t="s">
        <v>965</v>
      </c>
      <c r="B12" s="12" t="s">
        <v>954</v>
      </c>
      <c r="C12" s="12" t="s">
        <v>930</v>
      </c>
      <c r="I12" s="12" t="s">
        <v>966</v>
      </c>
      <c r="J12" s="12" t="s">
        <v>967</v>
      </c>
      <c r="K12" s="12" t="s">
        <v>930</v>
      </c>
    </row>
    <row r="13" spans="1:11" x14ac:dyDescent="0.3">
      <c r="A13" s="12" t="s">
        <v>968</v>
      </c>
      <c r="B13" s="12" t="s">
        <v>959</v>
      </c>
      <c r="C13" s="12" t="s">
        <v>930</v>
      </c>
      <c r="I13" s="12" t="s">
        <v>969</v>
      </c>
      <c r="J13" s="12" t="s">
        <v>970</v>
      </c>
      <c r="K13" s="12" t="s">
        <v>930</v>
      </c>
    </row>
    <row r="14" spans="1:11" x14ac:dyDescent="0.3">
      <c r="A14" s="12" t="s">
        <v>971</v>
      </c>
      <c r="B14" s="12" t="s">
        <v>962</v>
      </c>
      <c r="C14" s="12" t="s">
        <v>930</v>
      </c>
      <c r="I14" s="12" t="s">
        <v>972</v>
      </c>
      <c r="J14" s="12" t="s">
        <v>973</v>
      </c>
      <c r="K14" s="12" t="s">
        <v>930</v>
      </c>
    </row>
    <row r="15" spans="1:11" x14ac:dyDescent="0.3">
      <c r="A15" s="12" t="s">
        <v>974</v>
      </c>
      <c r="B15" s="12" t="s">
        <v>952</v>
      </c>
      <c r="C15" s="12" t="s">
        <v>930</v>
      </c>
      <c r="I15" s="12" t="s">
        <v>975</v>
      </c>
      <c r="J15" s="12" t="s">
        <v>976</v>
      </c>
      <c r="K15" s="12" t="s">
        <v>930</v>
      </c>
    </row>
    <row r="16" spans="1:11" x14ac:dyDescent="0.3">
      <c r="A16" s="12" t="s">
        <v>977</v>
      </c>
      <c r="B16" s="12" t="s">
        <v>967</v>
      </c>
      <c r="C16" s="12" t="s">
        <v>930</v>
      </c>
      <c r="I16" s="12" t="s">
        <v>978</v>
      </c>
      <c r="J16" s="12" t="s">
        <v>979</v>
      </c>
      <c r="K16" s="12" t="s">
        <v>930</v>
      </c>
    </row>
    <row r="17" spans="1:11" x14ac:dyDescent="0.3">
      <c r="A17" s="12" t="s">
        <v>980</v>
      </c>
      <c r="B17" s="12" t="s">
        <v>970</v>
      </c>
      <c r="C17" s="12" t="s">
        <v>930</v>
      </c>
      <c r="I17" s="12" t="s">
        <v>981</v>
      </c>
      <c r="J17" s="12" t="s">
        <v>982</v>
      </c>
      <c r="K17" s="12" t="s">
        <v>930</v>
      </c>
    </row>
    <row r="18" spans="1:11" x14ac:dyDescent="0.3">
      <c r="A18" s="12" t="s">
        <v>983</v>
      </c>
      <c r="B18" s="12" t="s">
        <v>984</v>
      </c>
      <c r="C18" s="12" t="s">
        <v>930</v>
      </c>
      <c r="I18" s="12" t="s">
        <v>985</v>
      </c>
      <c r="J18" s="12" t="s">
        <v>986</v>
      </c>
      <c r="K18" s="12" t="s">
        <v>930</v>
      </c>
    </row>
    <row r="19" spans="1:11" x14ac:dyDescent="0.3">
      <c r="A19" s="12" t="s">
        <v>987</v>
      </c>
      <c r="B19" s="12" t="s">
        <v>973</v>
      </c>
      <c r="C19" s="12" t="s">
        <v>930</v>
      </c>
      <c r="I19" s="12" t="s">
        <v>988</v>
      </c>
      <c r="J19" s="12" t="s">
        <v>989</v>
      </c>
      <c r="K19" s="12" t="s">
        <v>930</v>
      </c>
    </row>
    <row r="20" spans="1:11" x14ac:dyDescent="0.3">
      <c r="A20" s="12" t="s">
        <v>990</v>
      </c>
      <c r="B20" s="12" t="s">
        <v>976</v>
      </c>
      <c r="C20" s="12" t="s">
        <v>930</v>
      </c>
      <c r="I20" s="12" t="s">
        <v>991</v>
      </c>
      <c r="J20" s="12" t="s">
        <v>929</v>
      </c>
      <c r="K20" s="12" t="s">
        <v>930</v>
      </c>
    </row>
    <row r="21" spans="1:11" x14ac:dyDescent="0.3">
      <c r="A21" s="12" t="s">
        <v>992</v>
      </c>
      <c r="B21" s="12" t="s">
        <v>982</v>
      </c>
      <c r="C21" s="12" t="s">
        <v>930</v>
      </c>
      <c r="I21" s="12" t="s">
        <v>993</v>
      </c>
      <c r="J21" s="12" t="s">
        <v>994</v>
      </c>
      <c r="K21" s="12" t="s">
        <v>930</v>
      </c>
    </row>
    <row r="22" spans="1:11" x14ac:dyDescent="0.3">
      <c r="A22" s="12" t="s">
        <v>995</v>
      </c>
      <c r="B22" s="12" t="s">
        <v>986</v>
      </c>
      <c r="C22" s="12" t="s">
        <v>930</v>
      </c>
      <c r="I22" s="12" t="s">
        <v>996</v>
      </c>
      <c r="J22" s="12" t="s">
        <v>957</v>
      </c>
      <c r="K22" s="12" t="s">
        <v>930</v>
      </c>
    </row>
    <row r="23" spans="1:11" x14ac:dyDescent="0.3">
      <c r="A23" s="12" t="s">
        <v>997</v>
      </c>
      <c r="B23" s="12" t="s">
        <v>929</v>
      </c>
      <c r="C23" s="12" t="s">
        <v>930</v>
      </c>
    </row>
    <row r="24" spans="1:11" x14ac:dyDescent="0.3">
      <c r="A24" s="12" t="s">
        <v>998</v>
      </c>
      <c r="B24" s="12" t="s">
        <v>994</v>
      </c>
      <c r="C24" s="12" t="s">
        <v>930</v>
      </c>
    </row>
    <row r="25" spans="1:11" x14ac:dyDescent="0.3">
      <c r="A25" s="12" t="s">
        <v>999</v>
      </c>
      <c r="B25" s="12" t="s">
        <v>957</v>
      </c>
      <c r="C25" s="12" t="s">
        <v>930</v>
      </c>
    </row>
  </sheetData>
  <sheetProtection algorithmName="SHA-512" hashValue="eFkz72o7I9el+J0g/HDY87LdxJGZ69hKsdQIvrJ2Cw7klXNOKw9qiLyjN9hj97Tnluo/cgUgJYJUt0MbiRLWug==" saltValue="gjqF4jb5fy5qaaPwWdjxjA==" spinCount="100000" sheet="1" formatCells="0" formatColumns="0" formatRows="0" insertColumns="0" insertRows="0" sort="0" autoFilter="0"/>
  <mergeCells count="3">
    <mergeCell ref="A1:C2"/>
    <mergeCell ref="E1:G2"/>
    <mergeCell ref="I1:K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3DE7F3B91E8CF14E8710C33A28901DF6" ma:contentTypeVersion="19" ma:contentTypeDescription="Creare un nuovo documento." ma:contentTypeScope="" ma:versionID="42aa6abb25979f863731bee7b79aa0e8">
  <xsd:schema xmlns:xsd="http://www.w3.org/2001/XMLSchema" xmlns:xs="http://www.w3.org/2001/XMLSchema" xmlns:p="http://schemas.microsoft.com/office/2006/metadata/properties" xmlns:ns2="1082522b-b16c-4e47-b14a-d0cb24d98f6f" xmlns:ns3="0b2130ae-ba88-4845-ac49-eda563941843" targetNamespace="http://schemas.microsoft.com/office/2006/metadata/properties" ma:root="true" ma:fieldsID="ac9b5195cf0685b05738b7ffa901c8d8" ns2:_="" ns3:_="">
    <xsd:import namespace="1082522b-b16c-4e47-b14a-d0cb24d98f6f"/>
    <xsd:import namespace="0b2130ae-ba88-4845-ac49-eda563941843"/>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Schemes" minOccurs="0"/>
                <xsd:element ref="ns2:Role" minOccurs="0"/>
                <xsd:element ref="ns2:TypeOfDocuments" minOccurs="0"/>
                <xsd:element ref="ns2:MainTopic"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82522b-b16c-4e47-b14a-d0cb24d98f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Schemes" ma:index="14" nillable="true" ma:displayName="Schemes" ma:format="Dropdown" ma:internalName="Schemes">
      <xsd:complexType>
        <xsd:complexContent>
          <xsd:extension base="dms:MultiChoice">
            <xsd:sequence>
              <xsd:element name="Value" maxOccurs="unbounded" minOccurs="0" nillable="true">
                <xsd:simpleType>
                  <xsd:restriction base="dms:Choice">
                    <xsd:enumeration value="ASC Farm"/>
                    <xsd:enumeration value="ASC Feed"/>
                    <xsd:enumeration value="ASC/MSC CoC"/>
                    <xsd:enumeration value="ASC-MSC Seaweed"/>
                    <xsd:enumeration value="BRCGS VM"/>
                    <xsd:enumeration value="BRCGS A&amp;B"/>
                    <xsd:enumeration value="BRCGS CP"/>
                    <xsd:enumeration value="BRCGS FOOD"/>
                    <xsd:enumeration value="BRCGS GFCP"/>
                    <xsd:enumeration value="BRCGS PACK"/>
                    <xsd:enumeration value="BRCGS PB"/>
                    <xsd:enumeration value="BRCGS START!"/>
                    <xsd:enumeration value="BRCGS S&amp;D"/>
                    <xsd:enumeration value="FAMI QS"/>
                    <xsd:enumeration value="FOS"/>
                    <xsd:enumeration value="FSSC22000"/>
                    <xsd:enumeration value="FSSC Addendum"/>
                    <xsd:enumeration value="FSSC DP"/>
                    <xsd:enumeration value="GG Add-ons"/>
                    <xsd:enumeration value="GG CFM"/>
                    <xsd:enumeration value="GG CoC"/>
                    <xsd:enumeration value="GG IFA AQUA"/>
                    <xsd:enumeration value="GG IFA CROPS"/>
                    <xsd:enumeration value="GMP+"/>
                    <xsd:enumeration value="HACCP NA"/>
                    <xsd:enumeration value="IFS Broker"/>
                    <xsd:enumeration value="IFS Food"/>
                    <xsd:enumeration value="IFS FSMA"/>
                    <xsd:enumeration value="IFS Progress"/>
                    <xsd:enumeration value="IFS HPC"/>
                    <xsd:enumeration value="IFS Logistic"/>
                    <xsd:enumeration value="IFS W/C&amp;C"/>
                    <xsd:enumeration value="ISO22000"/>
                    <xsd:enumeration value="LEAF Marque"/>
                    <xsd:enumeration value="Non-Food Packaging Module"/>
                    <xsd:enumeration value="RSPO"/>
                    <xsd:enumeration value="IFS COSTCO"/>
                  </xsd:restriction>
                </xsd:simpleType>
              </xsd:element>
            </xsd:sequence>
          </xsd:extension>
        </xsd:complexContent>
      </xsd:complexType>
    </xsd:element>
    <xsd:element name="Role" ma:index="15" nillable="true" ma:displayName="Roles" ma:format="Dropdown" ma:internalName="Role">
      <xsd:complexType>
        <xsd:complexContent>
          <xsd:extension base="dms:MultiChoice">
            <xsd:sequence>
              <xsd:element name="Value" maxOccurs="unbounded" minOccurs="0" nillable="true">
                <xsd:simpleType>
                  <xsd:restriction base="dms:Choice">
                    <xsd:enumeration value="Auditor"/>
                    <xsd:enumeration value="Operation"/>
                    <xsd:enumeration value="Planner"/>
                    <xsd:enumeration value="Sales"/>
                    <xsd:enumeration value="Technical"/>
                  </xsd:restriction>
                </xsd:simpleType>
              </xsd:element>
            </xsd:sequence>
          </xsd:extension>
        </xsd:complexContent>
      </xsd:complexType>
    </xsd:element>
    <xsd:element name="TypeOfDocuments" ma:index="16" nillable="true" ma:displayName="Type Of Documents" ma:format="Dropdown" ma:internalName="TypeOfDocuments">
      <xsd:complexType>
        <xsd:complexContent>
          <xsd:extension base="dms:MultiChoice">
            <xsd:sequence>
              <xsd:element name="Value" maxOccurs="unbounded" minOccurs="0" nillable="true">
                <xsd:simpleType>
                  <xsd:restriction base="dms:Choice">
                    <xsd:enumeration value="Audit Documents"/>
                    <xsd:enumeration value="Guideline"/>
                    <xsd:enumeration value="Internal DNV Documents"/>
                    <xsd:enumeration value="Standard"/>
                  </xsd:restriction>
                </xsd:simpleType>
              </xsd:element>
            </xsd:sequence>
          </xsd:extension>
        </xsd:complexContent>
      </xsd:complexType>
    </xsd:element>
    <xsd:element name="MainTopic" ma:index="17" nillable="true" ma:displayName="Main Topic" ma:format="Dropdown" ma:internalName="MainTopic">
      <xsd:complexType>
        <xsd:complexContent>
          <xsd:extension base="dms:MultiChoice">
            <xsd:sequence>
              <xsd:element name="Value" maxOccurs="unbounded" minOccurs="0" nillable="true">
                <xsd:simpleType>
                  <xsd:restriction base="dms:Choice">
                    <xsd:enumeration value="Choice 1"/>
                    <xsd:enumeration value="Choice 2"/>
                    <xsd:enumeration value="Choice 3"/>
                  </xsd:restriction>
                </xsd:simpleType>
              </xsd:element>
            </xsd:sequence>
          </xsd:extension>
        </xsd:complexContent>
      </xsd:complexType>
    </xsd:element>
    <xsd:element name="lcf76f155ced4ddcb4097134ff3c332f" ma:index="19" nillable="true" ma:taxonomy="true" ma:internalName="lcf76f155ced4ddcb4097134ff3c332f" ma:taxonomyFieldName="MediaServiceImageTags" ma:displayName="Tag immagine" ma:readOnly="false" ma:fieldId="{5cf76f15-5ced-4ddc-b409-7134ff3c332f}" ma:taxonomyMulti="true" ma:sspId="b0b031d9-ae19-48d6-a524-e417b27e882f"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b2130ae-ba88-4845-ac49-eda563941843" elementFormDefault="qualified">
    <xsd:import namespace="http://schemas.microsoft.com/office/2006/documentManagement/types"/>
    <xsd:import namespace="http://schemas.microsoft.com/office/infopath/2007/PartnerControls"/>
    <xsd:element name="SharedWithUsers" ma:index="11"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Condiviso con dettagli" ma:internalName="SharedWithDetails" ma:readOnly="true">
      <xsd:simpleType>
        <xsd:restriction base="dms:Note">
          <xsd:maxLength value="255"/>
        </xsd:restriction>
      </xsd:simpleType>
    </xsd:element>
    <xsd:element name="TaxCatchAll" ma:index="20" nillable="true" ma:displayName="Taxonomy Catch All Column" ma:hidden="true" ma:list="{f19be0e2-be53-4d83-8122-0e9a75fd48e0}" ma:internalName="TaxCatchAll" ma:showField="CatchAllData" ma:web="0b2130ae-ba88-4845-ac49-eda5639418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082522b-b16c-4e47-b14a-d0cb24d98f6f">
      <Terms xmlns="http://schemas.microsoft.com/office/infopath/2007/PartnerControls"/>
    </lcf76f155ced4ddcb4097134ff3c332f>
    <TaxCatchAll xmlns="0b2130ae-ba88-4845-ac49-eda563941843" xsi:nil="true"/>
    <SharedWithUsers xmlns="0b2130ae-ba88-4845-ac49-eda563941843">
      <UserInfo>
        <DisplayName>Otso Tolonen</DisplayName>
        <AccountId>57</AccountId>
        <AccountType/>
      </UserInfo>
      <UserInfo>
        <DisplayName>Sven Reil</DisplayName>
        <AccountId>108</AccountId>
        <AccountType/>
      </UserInfo>
      <UserInfo>
        <DisplayName>Mahshid Onsori</DisplayName>
        <AccountId>321</AccountId>
        <AccountType/>
      </UserInfo>
      <UserInfo>
        <DisplayName>Yisleydy del Carmen Romero</DisplayName>
        <AccountId>184</AccountId>
        <AccountType/>
      </UserInfo>
      <UserInfo>
        <DisplayName>Rawad Akkad</DisplayName>
        <AccountId>249</AccountId>
        <AccountType/>
      </UserInfo>
    </SharedWithUsers>
    <Schemes xmlns="1082522b-b16c-4e47-b14a-d0cb24d98f6f" xsi:nil="true"/>
    <TypeOfDocuments xmlns="1082522b-b16c-4e47-b14a-d0cb24d98f6f" xsi:nil="true"/>
    <Role xmlns="1082522b-b16c-4e47-b14a-d0cb24d98f6f" xsi:nil="true"/>
    <MainTopic xmlns="1082522b-b16c-4e47-b14a-d0cb24d98f6f" xsi:nil="true"/>
  </documentManagement>
</p:properties>
</file>

<file path=customXml/itemProps1.xml><?xml version="1.0" encoding="utf-8"?>
<ds:datastoreItem xmlns:ds="http://schemas.openxmlformats.org/officeDocument/2006/customXml" ds:itemID="{8BC1BFDF-46DD-49A2-A35D-77777EB86838}">
  <ds:schemaRefs>
    <ds:schemaRef ds:uri="http://schemas.microsoft.com/sharepoint/v3/contenttype/forms"/>
  </ds:schemaRefs>
</ds:datastoreItem>
</file>

<file path=customXml/itemProps2.xml><?xml version="1.0" encoding="utf-8"?>
<ds:datastoreItem xmlns:ds="http://schemas.openxmlformats.org/officeDocument/2006/customXml" ds:itemID="{9790415B-2CDB-424B-9E1D-C259E29436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82522b-b16c-4e47-b14a-d0cb24d98f6f"/>
    <ds:schemaRef ds:uri="0b2130ae-ba88-4845-ac49-eda5639418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4F2393-5E3F-44A1-9DA3-F028361E91F6}">
  <ds:schemaRefs>
    <ds:schemaRef ds:uri="http://schemas.microsoft.com/office/2006/metadata/properties"/>
    <ds:schemaRef ds:uri="http://schemas.microsoft.com/office/infopath/2007/PartnerControls"/>
    <ds:schemaRef ds:uri="3fcbf3cb-b373-44a0-966d-dc1ff9089511"/>
    <ds:schemaRef ds:uri="50795b52-d884-4f3c-a547-4763e70ede17"/>
    <ds:schemaRef ds:uri="1082522b-b16c-4e47-b14a-d0cb24d98f6f"/>
    <ds:schemaRef ds:uri="0b2130ae-ba88-4845-ac49-eda5639418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Audit_Info</vt:lpstr>
      <vt:lpstr>Audit scope_Info</vt:lpstr>
      <vt:lpstr>CL - IFA v6 Smart - AQ</vt:lpstr>
      <vt:lpstr>Audit Result</vt:lpstr>
      <vt:lpstr>IFA Inspection Guideline</vt:lpstr>
      <vt:lpstr>Info _ Workers welfare P&amp;Cs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NPOI</dc:creator>
  <cp:keywords/>
  <dc:description/>
  <cp:lastModifiedBy>Bekken, Thomas Vavik</cp:lastModifiedBy>
  <cp:revision/>
  <dcterms:created xsi:type="dcterms:W3CDTF">2024-02-27T08:45:15Z</dcterms:created>
  <dcterms:modified xsi:type="dcterms:W3CDTF">2025-02-03T09:45:57Z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2.4.1</vt:lpwstr>
  </property>
  <property fmtid="{D5CDD505-2E9C-101B-9397-08002B2CF9AE}" pid="4" name="ContentTypeId">
    <vt:lpwstr>0x0101003DE7F3B91E8CF14E8710C33A28901DF6</vt:lpwstr>
  </property>
  <property fmtid="{D5CDD505-2E9C-101B-9397-08002B2CF9AE}" pid="5" name="MediaServiceImageTags">
    <vt:lpwstr/>
  </property>
  <property fmtid="{D5CDD505-2E9C-101B-9397-08002B2CF9AE}" pid="6" name="MSIP_Label_48141450-2387-4aca-b41f-19cd6be9dd3c_Enabled">
    <vt:lpwstr>true</vt:lpwstr>
  </property>
  <property fmtid="{D5CDD505-2E9C-101B-9397-08002B2CF9AE}" pid="7" name="MSIP_Label_48141450-2387-4aca-b41f-19cd6be9dd3c_SetDate">
    <vt:lpwstr>2024-10-31T10:55:35Z</vt:lpwstr>
  </property>
  <property fmtid="{D5CDD505-2E9C-101B-9397-08002B2CF9AE}" pid="8" name="MSIP_Label_48141450-2387-4aca-b41f-19cd6be9dd3c_Method">
    <vt:lpwstr>Standard</vt:lpwstr>
  </property>
  <property fmtid="{D5CDD505-2E9C-101B-9397-08002B2CF9AE}" pid="9" name="MSIP_Label_48141450-2387-4aca-b41f-19cd6be9dd3c_Name">
    <vt:lpwstr>Restricted_Unprotected</vt:lpwstr>
  </property>
  <property fmtid="{D5CDD505-2E9C-101B-9397-08002B2CF9AE}" pid="10" name="MSIP_Label_48141450-2387-4aca-b41f-19cd6be9dd3c_SiteId">
    <vt:lpwstr>adf10e2b-b6e9-41d6-be2f-c12bb566019c</vt:lpwstr>
  </property>
  <property fmtid="{D5CDD505-2E9C-101B-9397-08002B2CF9AE}" pid="11" name="MSIP_Label_48141450-2387-4aca-b41f-19cd6be9dd3c_ActionId">
    <vt:lpwstr>50902db8-21ae-4676-9593-a04944e31b8c</vt:lpwstr>
  </property>
  <property fmtid="{D5CDD505-2E9C-101B-9397-08002B2CF9AE}" pid="12" name="MSIP_Label_48141450-2387-4aca-b41f-19cd6be9dd3c_ContentBits">
    <vt:lpwstr>0</vt:lpwstr>
  </property>
</Properties>
</file>