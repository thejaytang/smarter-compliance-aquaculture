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 name="Machine confidence" sheetId="6" state="visible" r:id="rId6"/>
  </sheets>
  <definedNames>
    <definedName name="_xlnm.Print_Area" localSheetId="0">'Instructions'!$A$1:$C$46</definedName>
    <definedName name="_xlnm._FilterDatabase" localSheetId="5" hidden="1">'Machine confidence'!$A$1:$L$88</definedName>
  </definedNames>
  <calcPr calcId="191029" calcMode="auto" fullCalcOnLoad="1" forceFullCalc="1"/>
</workbook>
</file>

<file path=xl/styles.xml><?xml version="1.0" encoding="utf-8"?>
<styleSheet xmlns="http://schemas.openxmlformats.org/spreadsheetml/2006/main">
  <numFmts count="5">
    <numFmt numFmtId="164" formatCode="yyyy\-mm\-dd\ hh:mm"/>
    <numFmt numFmtId="165" formatCode="yyyy\-mm\-dd"/>
    <numFmt numFmtId="166" formatCode="yyyy\-mm\-dd\ h:mm:ss"/>
    <numFmt numFmtId="167" formatCode="yyyy-mm-dd h:mm:ss"/>
    <numFmt numFmtId="168" formatCode="0.0%"/>
  </numFmts>
  <fonts count="19">
    <font>
      <name val="Carlito"/>
      <sz val="11"/>
    </font>
    <font>
      <name val="Carlito"/>
      <b val="1"/>
      <color rgb="FFFFFFFF"/>
      <sz val="11"/>
    </font>
    <font>
      <name val="Aptos"/>
      <sz val="11"/>
    </font>
    <font>
      <name val="Carlito"/>
      <color rgb="FF203040"/>
      <sz val="10"/>
    </font>
    <font>
      <name val="Carlito"/>
      <b val="1"/>
      <color rgb="FF17365D"/>
      <sz val="10"/>
    </font>
    <font>
      <name val="Arial"/>
      <family val="2"/>
      <color rgb="FF17365D"/>
      <sz val="10"/>
    </font>
    <font>
      <name val="Carlito"/>
      <sz val="11"/>
    </font>
    <font>
      <name val="FangSong"/>
      <charset val="134"/>
      <family val="3"/>
      <sz val="9"/>
    </font>
    <font>
      <name val="Calibri"/>
      <family val="2"/>
      <b val="1"/>
      <color rgb="FFFFFFFF"/>
      <sz val="11"/>
    </font>
    <font>
      <name val="Calibri"/>
      <family val="2"/>
      <color rgb="FF102A43"/>
      <sz val="11"/>
    </font>
    <font>
      <name val="Calibri"/>
      <family val="2"/>
      <b val="1"/>
      <color rgb="FFFFFFFF"/>
      <sz val="16"/>
    </font>
    <font>
      <name val="Calibri"/>
      <family val="2"/>
      <color rgb="FF20354F"/>
      <sz val="10"/>
    </font>
    <font>
      <name val="Calibri"/>
      <family val="2"/>
      <b val="1"/>
      <color rgb="FF20354F"/>
      <sz val="10"/>
    </font>
    <font>
      <name val="Calibri"/>
      <b val="1"/>
      <color rgb="0017374D"/>
      <sz val="20"/>
    </font>
    <font>
      <name val="Calibri"/>
      <color rgb="00546779"/>
      <sz val="11"/>
    </font>
    <font>
      <name val="Calibri"/>
      <b val="1"/>
      <color rgb="00FFFFFF"/>
      <sz val="11"/>
    </font>
    <font>
      <name val="Calibri"/>
      <b val="1"/>
      <color rgb="00253746"/>
      <sz val="11"/>
    </font>
    <font>
      <name val="Calibri"/>
      <color rgb="00253746"/>
      <sz val="11"/>
    </font>
    <font>
      <name val="Aptos"/>
      <b val="1"/>
      <color rgb="00FFFFFF"/>
      <sz val="11"/>
    </font>
  </fonts>
  <fills count="19">
    <fill>
      <patternFill/>
    </fill>
    <fill>
      <patternFill patternType="gray125"/>
    </fill>
    <fill>
      <patternFill patternType="solid">
        <fgColor rgb="FFE8F4F8"/>
      </patternFill>
    </fill>
    <fill>
      <patternFill patternType="solid">
        <fgColor rgb="FFFFF9E8"/>
      </patternFill>
    </fill>
    <fill>
      <patternFill patternType="solid">
        <fgColor rgb="FF0F6B78"/>
      </patternFill>
    </fill>
    <fill>
      <patternFill patternType="solid">
        <fgColor rgb="FFF7F9FC"/>
      </patternFill>
    </fill>
    <fill>
      <patternFill patternType="solid">
        <fgColor rgb="FFFFFFFF"/>
      </patternFill>
    </fill>
    <fill>
      <patternFill patternType="solid">
        <fgColor rgb="FF0077B6"/>
      </patternFill>
    </fill>
    <fill>
      <patternFill patternType="solid">
        <fgColor rgb="FFADE8F4"/>
      </patternFill>
    </fill>
    <fill>
      <patternFill patternType="solid">
        <fgColor rgb="FF71A5DE"/>
      </patternFill>
    </fill>
    <fill>
      <patternFill patternType="solid">
        <fgColor rgb="FF83B0E1"/>
      </patternFill>
    </fill>
    <fill>
      <patternFill patternType="solid">
        <fgColor rgb="FFE1ECF7"/>
      </patternFill>
    </fill>
    <fill>
      <patternFill patternType="solid">
        <fgColor rgb="FFF8F9FB"/>
      </patternFill>
    </fill>
    <fill>
      <patternFill patternType="solid">
        <fgColor rgb="FFAECBEB"/>
      </patternFill>
    </fill>
    <fill>
      <patternFill patternType="solid">
        <fgColor rgb="FFF6E9DF"/>
      </patternFill>
    </fill>
    <fill>
      <patternFill patternType="solid">
        <fgColor rgb="0017374D"/>
      </patternFill>
    </fill>
    <fill>
      <patternFill patternType="solid">
        <fgColor rgb="00EEF3F7"/>
      </patternFill>
    </fill>
    <fill>
      <patternFill patternType="solid">
        <fgColor rgb="00FFFFFF"/>
      </patternFill>
    </fill>
    <fill>
      <patternFill patternType="solid">
        <fgColor rgb="00173B54"/>
      </patternFill>
    </fill>
  </fills>
  <borders count="18">
    <border>
      <left/>
      <right/>
      <top/>
      <bottom/>
      <diagonal/>
    </border>
    <border>
      <left/>
      <right style="thin">
        <color rgb="FFD0D5DD"/>
      </right>
      <top/>
      <bottom/>
      <diagonal/>
    </border>
    <border>
      <left/>
      <right style="thin">
        <color rgb="FFD0D5DD"/>
      </right>
      <top/>
      <bottom style="thin">
        <color rgb="FFD0D5DD"/>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style="thin">
        <color rgb="FFD1E5EE"/>
      </left>
      <right style="thin">
        <color rgb="FFD1E5EE"/>
      </right>
      <top style="thin">
        <color rgb="FFD1E5EE"/>
      </top>
      <bottom style="thin">
        <color rgb="FFD1E5EE"/>
      </bottom>
      <diagonal/>
    </border>
    <border>
      <left style="thin">
        <color rgb="FFD2DCE7"/>
      </left>
      <right style="thin">
        <color rgb="FFD2DCE7"/>
      </right>
      <top style="thin">
        <color rgb="FFD2DCE7"/>
      </top>
      <bottom style="thin">
        <color rgb="FFD2DCE7"/>
      </bottom>
      <diagonal/>
    </border>
    <border>
      <left/>
      <right/>
      <top style="thin">
        <color rgb="FFD2DCE7"/>
      </top>
      <bottom/>
      <diagonal/>
    </border>
    <border>
      <left/>
      <right style="thin">
        <color rgb="FFD2DCE7"/>
      </right>
      <top style="thin">
        <color rgb="FFD2DCE7"/>
      </top>
      <bottom/>
      <diagonal/>
    </border>
    <border>
      <left/>
      <right/>
      <top style="thin">
        <color rgb="FFD2DCE7"/>
      </top>
      <bottom style="thin">
        <color rgb="FFD2DCE7"/>
      </bottom>
      <diagonal/>
    </border>
    <border>
      <left/>
      <right style="thin">
        <color rgb="FFD2DCE7"/>
      </right>
      <top style="thin">
        <color rgb="FFD2DCE7"/>
      </top>
      <bottom style="thin">
        <color rgb="FFD2DCE7"/>
      </bottom>
      <diagonal/>
    </border>
    <border>
      <left style="thin">
        <color rgb="FFD2DCE7"/>
      </left>
      <right/>
      <top/>
      <bottom style="thin">
        <color rgb="FFD2DCE7"/>
      </bottom>
      <diagonal/>
    </border>
    <border>
      <left/>
      <right style="thin">
        <color rgb="FFD2DCE7"/>
      </right>
      <top/>
      <bottom style="thin">
        <color rgb="FFD2DCE7"/>
      </bottom>
      <diagonal/>
    </border>
    <border>
      <left/>
      <right/>
      <top/>
      <bottom style="thin">
        <color rgb="FFD2DCE7"/>
      </bottom>
      <diagonal/>
    </border>
    <border>
      <left style="thin">
        <color rgb="FFD2DCE7"/>
      </left>
      <right/>
      <top/>
      <bottom/>
      <diagonal/>
    </border>
    <border>
      <left/>
      <right style="thin">
        <color rgb="FFD2DCE7"/>
      </right>
      <top/>
      <bottom/>
      <diagonal/>
    </border>
  </borders>
  <cellStyleXfs count="2">
    <xf numFmtId="0" fontId="6" fillId="0" borderId="6"/>
    <xf numFmtId="0" fontId="6" fillId="0" borderId="6"/>
  </cellStyleXfs>
  <cellXfs count="96">
    <xf numFmtId="0" fontId="0" fillId="0" borderId="0" pivotButton="0" quotePrefix="0" xfId="0"/>
    <xf numFmtId="164" fontId="0" fillId="0" borderId="0" pivotButton="0" quotePrefix="0" xfId="1"/>
    <xf numFmtId="0" fontId="2" fillId="2" borderId="3" pivotButton="0" quotePrefix="0" xfId="1"/>
    <xf numFmtId="0" fontId="2" fillId="3" borderId="3" pivotButton="0" quotePrefix="0" xfId="1"/>
    <xf numFmtId="0" fontId="2" fillId="2" borderId="4" pivotButton="0" quotePrefix="0" xfId="1"/>
    <xf numFmtId="0" fontId="2" fillId="3" borderId="4" pivotButton="0" quotePrefix="0" xfId="1"/>
    <xf numFmtId="164" fontId="2" fillId="2" borderId="3" pivotButton="0" quotePrefix="0" xfId="1"/>
    <xf numFmtId="164" fontId="2" fillId="2" borderId="4" pivotButton="0" quotePrefix="0" xfId="1"/>
    <xf numFmtId="165" fontId="2" fillId="3" borderId="3" pivotButton="0" quotePrefix="0" xfId="1"/>
    <xf numFmtId="165" fontId="2" fillId="3" borderId="4" pivotButton="0" quotePrefix="0" xfId="1"/>
    <xf numFmtId="0" fontId="3" fillId="0" borderId="5" applyAlignment="1" pivotButton="0" quotePrefix="0" xfId="1">
      <alignment vertical="top" wrapText="1"/>
    </xf>
    <xf numFmtId="0" fontId="4" fillId="0" borderId="5" applyAlignment="1" pivotButton="0" quotePrefix="0" xfId="1">
      <alignment vertical="top" wrapText="1"/>
    </xf>
    <xf numFmtId="0" fontId="1" fillId="4" borderId="5" applyAlignment="1" pivotButton="0" quotePrefix="0" xfId="1">
      <alignment vertical="top" wrapText="1"/>
    </xf>
    <xf numFmtId="0" fontId="5" fillId="5" borderId="0" applyAlignment="1" pivotButton="0" quotePrefix="0" xfId="1">
      <alignment vertical="center"/>
    </xf>
    <xf numFmtId="0" fontId="8" fillId="7" borderId="5" applyAlignment="1" pivotButton="0" quotePrefix="0" xfId="1">
      <alignment vertical="top" wrapText="1"/>
    </xf>
    <xf numFmtId="0" fontId="8" fillId="7" borderId="0" pivotButton="0" quotePrefix="0" xfId="0"/>
    <xf numFmtId="0" fontId="9" fillId="8" borderId="0" pivotButton="0" quotePrefix="0" xfId="0"/>
    <xf numFmtId="0" fontId="9" fillId="8" borderId="1" applyAlignment="1" pivotButton="0" quotePrefix="0" xfId="1">
      <alignment vertical="top" wrapText="1"/>
    </xf>
    <xf numFmtId="0" fontId="9" fillId="6" borderId="1" applyAlignment="1" pivotButton="0" quotePrefix="0" xfId="1">
      <alignment vertical="top" wrapText="1"/>
    </xf>
    <xf numFmtId="0" fontId="9" fillId="8" borderId="2" applyAlignment="1" pivotButton="0" quotePrefix="0" xfId="1">
      <alignment vertical="top" wrapText="1"/>
    </xf>
    <xf numFmtId="0" fontId="9" fillId="6" borderId="0" pivotButton="0" quotePrefix="0" xfId="0"/>
    <xf numFmtId="0" fontId="9" fillId="6" borderId="2" applyAlignment="1" pivotButton="0" quotePrefix="0" xfId="1">
      <alignment vertical="top" wrapText="1"/>
    </xf>
    <xf numFmtId="0" fontId="8" fillId="0" borderId="0" applyAlignment="1" pivotButton="0" quotePrefix="0" xfId="0">
      <alignment horizontal="center" vertical="center" wrapText="1"/>
    </xf>
    <xf numFmtId="0" fontId="8" fillId="7" borderId="7" applyAlignment="1" pivotButton="0" quotePrefix="0" xfId="1">
      <alignment vertical="top" wrapText="1"/>
    </xf>
    <xf numFmtId="0" fontId="1" fillId="4" borderId="7" applyAlignment="1" pivotButton="0" quotePrefix="0" xfId="1">
      <alignment vertical="top" wrapText="1"/>
    </xf>
    <xf numFmtId="0" fontId="3" fillId="11" borderId="5" applyAlignment="1" pivotButton="0" quotePrefix="0" xfId="1">
      <alignment vertical="top" wrapText="1"/>
    </xf>
    <xf numFmtId="0" fontId="3" fillId="13" borderId="5" applyAlignment="1" pivotButton="0" quotePrefix="0" xfId="1">
      <alignment vertical="top" wrapText="1"/>
    </xf>
    <xf numFmtId="0" fontId="0" fillId="11" borderId="0" pivotButton="0" quotePrefix="0" xfId="0"/>
    <xf numFmtId="0" fontId="0" fillId="13" borderId="0" pivotButton="0" quotePrefix="0" xfId="0"/>
    <xf numFmtId="0" fontId="12" fillId="9" borderId="8" applyAlignment="1" pivotButton="0" quotePrefix="0" xfId="1">
      <alignment horizontal="left" vertical="center" wrapText="1"/>
    </xf>
    <xf numFmtId="0" fontId="11" fillId="12" borderId="8" applyAlignment="1" pivotButton="0" quotePrefix="0" xfId="1">
      <alignment horizontal="left" vertical="center" wrapText="1"/>
    </xf>
    <xf numFmtId="0" fontId="11" fillId="11" borderId="8" applyAlignment="1" pivotButton="0" quotePrefix="0" xfId="1">
      <alignment horizontal="left" vertical="center" wrapText="1"/>
    </xf>
    <xf numFmtId="0" fontId="8" fillId="10" borderId="8" applyAlignment="1" pivotButton="0" quotePrefix="0" xfId="1">
      <alignment horizontal="center" vertical="center" wrapText="1"/>
    </xf>
    <xf numFmtId="0" fontId="12" fillId="12" borderId="8" applyAlignment="1" pivotButton="0" quotePrefix="0" xfId="1">
      <alignment horizontal="center" vertical="center" wrapText="1"/>
    </xf>
    <xf numFmtId="164" fontId="11" fillId="12" borderId="8" applyAlignment="1" pivotButton="0" quotePrefix="0" xfId="1">
      <alignment horizontal="left" vertical="center" wrapText="1"/>
    </xf>
    <xf numFmtId="165" fontId="11" fillId="12" borderId="8" applyAlignment="1" pivotButton="0" quotePrefix="0" xfId="1">
      <alignment horizontal="left" vertical="center" wrapText="1"/>
    </xf>
    <xf numFmtId="0" fontId="12" fillId="11" borderId="8" applyAlignment="1" pivotButton="0" quotePrefix="0" xfId="1">
      <alignment horizontal="center" vertical="center" wrapText="1"/>
    </xf>
    <xf numFmtId="164" fontId="11" fillId="11" borderId="8" applyAlignment="1" pivotButton="0" quotePrefix="0" xfId="1">
      <alignment horizontal="left" vertical="center" wrapText="1"/>
    </xf>
    <xf numFmtId="165" fontId="11" fillId="11" borderId="8" applyAlignment="1" pivotButton="0" quotePrefix="0" xfId="1">
      <alignment horizontal="left" vertical="center" wrapText="1"/>
    </xf>
    <xf numFmtId="0" fontId="11" fillId="14" borderId="8" applyAlignment="1" pivotButton="0" quotePrefix="0" xfId="1">
      <alignment horizontal="left" vertical="center" wrapText="1"/>
    </xf>
    <xf numFmtId="0" fontId="11" fillId="9" borderId="8" applyAlignment="1" pivotButton="0" quotePrefix="0" xfId="0">
      <alignment horizontal="left" vertical="center" wrapText="1"/>
    </xf>
    <xf numFmtId="0" fontId="11" fillId="10" borderId="8" applyAlignment="1" pivotButton="0" quotePrefix="0" xfId="1">
      <alignment horizontal="left" vertical="center" wrapText="1"/>
    </xf>
    <xf numFmtId="0" fontId="11" fillId="10" borderId="8" applyAlignment="1" pivotButton="0" quotePrefix="0" xfId="0">
      <alignment horizontal="left" vertical="center" wrapText="1"/>
    </xf>
    <xf numFmtId="0" fontId="11" fillId="12" borderId="8" applyAlignment="1" pivotButton="0" quotePrefix="0" xfId="0">
      <alignment horizontal="left" vertical="center" wrapText="1"/>
    </xf>
    <xf numFmtId="0" fontId="11" fillId="11" borderId="8" applyAlignment="1" pivotButton="0" quotePrefix="0" xfId="0">
      <alignment horizontal="left" vertical="center" wrapText="1"/>
    </xf>
    <xf numFmtId="9" fontId="11" fillId="12" borderId="8" applyAlignment="1" pivotButton="0" quotePrefix="0" xfId="1">
      <alignment horizontal="left" vertical="center" wrapText="1"/>
    </xf>
    <xf numFmtId="0" fontId="8" fillId="10" borderId="8" applyAlignment="1" pivotButton="0" quotePrefix="0" xfId="0">
      <alignment horizontal="center" vertical="center" wrapText="1"/>
    </xf>
    <xf numFmtId="9" fontId="8" fillId="10" borderId="8" applyAlignment="1" pivotButton="0" quotePrefix="0" xfId="1">
      <alignment horizontal="center" vertical="center" wrapText="1"/>
    </xf>
    <xf numFmtId="9" fontId="11" fillId="11" borderId="8" applyAlignment="1" pivotButton="0" quotePrefix="0" xfId="1">
      <alignment horizontal="left" vertical="center" wrapText="1"/>
    </xf>
    <xf numFmtId="0" fontId="11" fillId="14" borderId="8" applyAlignment="1" pivotButton="0" quotePrefix="0" xfId="0">
      <alignment horizontal="left" vertical="center" wrapText="1"/>
    </xf>
    <xf numFmtId="166" fontId="11" fillId="12" borderId="8" applyAlignment="1" pivotButton="0" quotePrefix="0" xfId="1">
      <alignment horizontal="left" vertical="center" wrapText="1"/>
    </xf>
    <xf numFmtId="166" fontId="11" fillId="11" borderId="8" applyAlignment="1" pivotButton="0" quotePrefix="0" xfId="1">
      <alignment horizontal="left" vertical="center" wrapText="1"/>
    </xf>
    <xf numFmtId="166" fontId="0" fillId="0" borderId="0" pivotButton="0" quotePrefix="0" xfId="0"/>
    <xf numFmtId="0" fontId="11" fillId="11" borderId="8" applyAlignment="1" pivotButton="0" quotePrefix="0" xfId="1">
      <alignment horizontal="left" vertical="center" wrapText="1"/>
    </xf>
    <xf numFmtId="0" fontId="0" fillId="0" borderId="11" pivotButton="0" quotePrefix="0" xfId="0"/>
    <xf numFmtId="0" fontId="0" fillId="0" borderId="12" pivotButton="0" quotePrefix="0" xfId="0"/>
    <xf numFmtId="0" fontId="11" fillId="12" borderId="8" applyAlignment="1" pivotButton="0" quotePrefix="0" xfId="1">
      <alignment horizontal="left" vertical="center" wrapText="1"/>
    </xf>
    <xf numFmtId="0" fontId="11" fillId="9" borderId="8" applyAlignment="1" pivotButton="0" quotePrefix="0" xfId="1">
      <alignment horizontal="left" vertical="center" wrapText="1"/>
    </xf>
    <xf numFmtId="0" fontId="12" fillId="13" borderId="8" applyAlignment="1" pivotButton="0" quotePrefix="0" xfId="1">
      <alignment horizontal="center" vertical="center" wrapText="1"/>
    </xf>
    <xf numFmtId="0" fontId="0" fillId="0" borderId="10" pivotButton="0" quotePrefix="0" xfId="0"/>
    <xf numFmtId="0" fontId="0" fillId="0" borderId="13" pivotButton="0" quotePrefix="0" xfId="0"/>
    <xf numFmtId="0" fontId="0" fillId="0" borderId="14" pivotButton="0" quotePrefix="0" xfId="0"/>
    <xf numFmtId="0" fontId="10" fillId="10" borderId="8" applyAlignment="1" pivotButton="0" quotePrefix="0" xfId="1">
      <alignment horizontal="left" vertical="center" wrapText="1"/>
    </xf>
    <xf numFmtId="9" fontId="11" fillId="12" borderId="8" applyAlignment="1" pivotButton="0" quotePrefix="0" xfId="1">
      <alignment horizontal="left" vertical="center" wrapText="1"/>
    </xf>
    <xf numFmtId="0" fontId="8" fillId="10" borderId="8" applyAlignment="1" pivotButton="0" quotePrefix="0" xfId="1">
      <alignment horizontal="center" vertical="center" wrapText="1"/>
    </xf>
    <xf numFmtId="0" fontId="0" fillId="0" borderId="9" pivotButton="0" quotePrefix="0" xfId="0"/>
    <xf numFmtId="0" fontId="0" fillId="0" borderId="15" pivotButton="0" quotePrefix="0" xfId="0"/>
    <xf numFmtId="9" fontId="11" fillId="11" borderId="8" applyAlignment="1" pivotButton="0" quotePrefix="0" xfId="1">
      <alignment horizontal="left" vertical="center" wrapText="1"/>
    </xf>
    <xf numFmtId="164" fontId="11" fillId="10" borderId="8" applyAlignment="1" pivotButton="0" quotePrefix="0" xfId="1">
      <alignment horizontal="left" vertical="center" wrapText="1"/>
    </xf>
    <xf numFmtId="0" fontId="12" fillId="9" borderId="8" applyAlignment="1" pivotButton="0" quotePrefix="0" xfId="1">
      <alignment horizontal="left" vertical="center" wrapText="1"/>
    </xf>
    <xf numFmtId="0" fontId="11" fillId="10" borderId="8" applyAlignment="1" pivotButton="0" quotePrefix="0" xfId="1">
      <alignment horizontal="left" vertical="center" wrapText="1"/>
    </xf>
    <xf numFmtId="165" fontId="11" fillId="12" borderId="8" applyAlignment="1" pivotButton="0" quotePrefix="0" xfId="1">
      <alignment horizontal="left" vertical="center" wrapText="1"/>
    </xf>
    <xf numFmtId="164" fontId="11" fillId="12" borderId="8" applyAlignment="1" pivotButton="0" quotePrefix="0" xfId="1">
      <alignment horizontal="left" vertical="center" wrapText="1"/>
    </xf>
    <xf numFmtId="165" fontId="11" fillId="12" borderId="8" applyAlignment="1" pivotButton="0" quotePrefix="0" xfId="1">
      <alignment horizontal="left" vertical="center" wrapText="1"/>
    </xf>
    <xf numFmtId="164" fontId="11" fillId="11" borderId="8" applyAlignment="1" pivotButton="0" quotePrefix="0" xfId="1">
      <alignment horizontal="left" vertical="center" wrapText="1"/>
    </xf>
    <xf numFmtId="165" fontId="11" fillId="11" borderId="8" applyAlignment="1" pivotButton="0" quotePrefix="0" xfId="1">
      <alignment horizontal="left" vertical="center" wrapText="1"/>
    </xf>
    <xf numFmtId="165" fontId="2" fillId="3" borderId="3" pivotButton="0" quotePrefix="0" xfId="1"/>
    <xf numFmtId="164" fontId="11" fillId="10" borderId="8" applyAlignment="1" pivotButton="0" quotePrefix="0" xfId="1">
      <alignment horizontal="left" vertical="center" wrapText="1"/>
    </xf>
    <xf numFmtId="166" fontId="0" fillId="0" borderId="0" pivotButton="0" quotePrefix="0" xfId="0"/>
    <xf numFmtId="166" fontId="11" fillId="12" borderId="8" applyAlignment="1" pivotButton="0" quotePrefix="0" xfId="1">
      <alignment horizontal="left" vertical="center" wrapText="1"/>
    </xf>
    <xf numFmtId="166" fontId="11" fillId="11" borderId="8" applyAlignment="1" pivotButton="0" quotePrefix="0" xfId="1">
      <alignment horizontal="left" vertical="center" wrapText="1"/>
    </xf>
    <xf numFmtId="164" fontId="2" fillId="2" borderId="3" pivotButton="0" quotePrefix="0" xfId="1"/>
    <xf numFmtId="164" fontId="2" fillId="2" borderId="4" pivotButton="0" quotePrefix="0" xfId="1"/>
    <xf numFmtId="165" fontId="2" fillId="3" borderId="4" pivotButton="0" quotePrefix="0" xfId="1"/>
    <xf numFmtId="164" fontId="0" fillId="0" borderId="0" pivotButton="0" quotePrefix="0" xfId="1"/>
    <xf numFmtId="167" fontId="0" fillId="0" borderId="0" pivotButton="0" quotePrefix="0" xfId="0"/>
    <xf numFmtId="0" fontId="13" fillId="0" borderId="0" pivotButton="0" quotePrefix="0" xfId="0"/>
    <xf numFmtId="0" fontId="14" fillId="0" borderId="0" pivotButton="0" quotePrefix="0" xfId="0"/>
    <xf numFmtId="0" fontId="15" fillId="15" borderId="0" applyAlignment="1" pivotButton="0" quotePrefix="0" xfId="0">
      <alignment vertical="center" indent="1"/>
    </xf>
    <xf numFmtId="0" fontId="16" fillId="16" borderId="0" applyAlignment="1" pivotButton="0" quotePrefix="0" xfId="0">
      <alignment vertical="center" wrapText="1" indent="1"/>
    </xf>
    <xf numFmtId="0" fontId="17" fillId="16" borderId="0" applyAlignment="1" pivotButton="0" quotePrefix="0" xfId="0">
      <alignment vertical="center" wrapText="1" indent="1"/>
    </xf>
    <xf numFmtId="0" fontId="16" fillId="17" borderId="0" applyAlignment="1" pivotButton="0" quotePrefix="0" xfId="0">
      <alignment vertical="center" wrapText="1" indent="1"/>
    </xf>
    <xf numFmtId="0" fontId="17" fillId="17" borderId="0" applyAlignment="1" pivotButton="0" quotePrefix="0" xfId="0">
      <alignment vertical="center" wrapText="1" indent="1"/>
    </xf>
    <xf numFmtId="0" fontId="18" fillId="18" borderId="0" applyAlignment="1" pivotButton="0" quotePrefix="0" xfId="0">
      <alignment vertical="top" wrapText="1"/>
    </xf>
    <xf numFmtId="0" fontId="2" fillId="0" borderId="0" applyAlignment="1" pivotButton="0" quotePrefix="0" xfId="0">
      <alignment vertical="top" wrapText="1"/>
    </xf>
    <xf numFmtId="168" fontId="2" fillId="0" borderId="0" applyAlignment="1" pivotButton="0" quotePrefix="0" xfId="0">
      <alignment vertical="top" wrapText="1"/>
    </xf>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38</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28"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Save and close Excel, then double-click Open Workbench.command in the project root. It opens the browser workbench.</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Decisions apply automatically</t>
        </is>
      </c>
      <c r="C8" s="92" t="inlineStr">
        <is>
          <t>The last required rating submits a source assessment.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Canonical source state</t>
        </is>
      </c>
      <c r="C14" s="92" t="inlineStr">
        <is>
          <t>System1 manages source identities, snapshots, scores and selection here. Submit human changes in the browser, not directly in these cells.</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Program-owned; hidden</t>
        </is>
      </c>
      <c r="C16" s="92" t="inlineStr">
        <is>
          <t>The browser replaces this editing surface. The hidden sheet still stores adapter staging and audit history. Do not delete it or edit its rows.</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Submitted / Waiting</t>
        </is>
      </c>
      <c r="B20" s="92" t="inlineStr">
        <is>
          <t>Not applied yet</t>
        </is>
      </c>
      <c r="C20" s="92" t="inlineStr">
        <is>
          <t>The workbench shows application progress. If Excel is open or another task holds the lock, processing waits and resumes automatically.</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The fifth rating submits automatically.</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Weekly QA</t>
        </is>
      </c>
      <c r="B38" s="92" t="inlineStr">
        <is>
          <t>Service-owned schedule</t>
        </is>
      </c>
      <c r="C38" s="92" t="inlineStr">
        <is>
          <t>Every Monday, sample 5 eligible items per connected system in Europe/Oslo time. After downtime, create only the current week's missing batch. Keep incomplete weeks blank in accuracy charts.</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Save and close Excel</t>
        </is>
      </c>
      <c r="C44" s="92" t="inlineStr">
        <is>
          <t>Submitted decisions remain waiting. The service retries automatically when the workbook is available. Do not force a second writer.</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0" customHeight="1">
      <c r="A2" s="64" t="inlineStr">
        <is>
          <t>source_id</t>
        </is>
      </c>
      <c r="B2" s="64" t="inlineStr">
        <is>
          <t>snapshot_id</t>
        </is>
      </c>
      <c r="C2" s="64" t="inlineStr">
        <is>
          <t>stored_filename</t>
        </is>
      </c>
      <c r="D2" s="64" t="inlineStr">
        <is>
          <t>snapshot_status</t>
        </is>
      </c>
      <c r="E2" s="64" t="inlineStr">
        <is>
          <t>selection_status</t>
        </is>
      </c>
      <c r="F2" s="64" t="inlineStr">
        <is>
          <t>download_status</t>
        </is>
      </c>
      <c r="G2" s="64" t="inlineStr">
        <is>
          <t>last_attempt_at</t>
        </is>
      </c>
      <c r="H2" s="64" t="inlineStr">
        <is>
          <t>last_success_at</t>
        </is>
      </c>
      <c r="I2" s="64" t="inlineStr">
        <is>
          <t>content_change</t>
        </is>
      </c>
      <c r="J2" s="64" t="inlineStr">
        <is>
          <t>current_origin</t>
        </is>
      </c>
      <c r="K2" s="64" t="inlineStr">
        <is>
          <t>current_snapshot_date</t>
        </is>
      </c>
      <c r="L2" s="64" t="inlineStr">
        <is>
          <t>failure_stage</t>
        </is>
      </c>
      <c r="M2" s="64" t="inlineStr">
        <is>
          <t>failure_reason</t>
        </is>
      </c>
      <c r="N2" s="64" t="inlineStr">
        <is>
          <t>needs_human_action</t>
        </is>
      </c>
      <c r="O2" s="64" t="inlineStr">
        <is>
          <t>content_hash</t>
        </is>
      </c>
      <c r="P2" s="64" t="inlineStr">
        <is>
          <t>source_title</t>
        </is>
      </c>
      <c r="Q2" s="64" t="inlineStr">
        <is>
          <t>official_url</t>
        </is>
      </c>
      <c r="R2" s="64" t="inlineStr">
        <is>
          <t>retrieval_url</t>
        </is>
      </c>
      <c r="S2" s="64" t="inlineStr">
        <is>
          <t>folder_code</t>
        </is>
      </c>
      <c r="T2" s="64" t="inlineStr">
        <is>
          <t>file_format</t>
        </is>
      </c>
      <c r="U2" s="64" t="inlineStr">
        <is>
          <t>issuer</t>
        </is>
      </c>
      <c r="V2" s="64" t="inlineStr">
        <is>
          <t>jurisdiction</t>
        </is>
      </c>
      <c r="W2" s="64" t="inlineStr">
        <is>
          <t>authoritative_language</t>
        </is>
      </c>
      <c r="X2" s="64" t="inlineStr">
        <is>
          <t>version</t>
        </is>
      </c>
      <c r="Y2" s="64" t="inlineStr">
        <is>
          <t>effective_date</t>
        </is>
      </c>
      <c r="Z2" s="64" t="inlineStr">
        <is>
          <t>source_family</t>
        </is>
      </c>
      <c r="AA2" s="64" t="inlineStr">
        <is>
          <t>document_type</t>
        </is>
      </c>
      <c r="AB2" s="64" t="inlineStr">
        <is>
          <t>requirement_role</t>
        </is>
      </c>
      <c r="AC2" s="64" t="inlineStr">
        <is>
          <t>inclusion_rationale</t>
        </is>
      </c>
      <c r="AD2" s="64" t="inlineStr">
        <is>
          <t>authority_quality</t>
        </is>
      </c>
      <c r="AE2" s="64" t="inlineStr">
        <is>
          <t>scope_relevance</t>
        </is>
      </c>
      <c r="AF2" s="64" t="inlineStr">
        <is>
          <t>version_currency</t>
        </is>
      </c>
      <c r="AG2" s="64" t="inlineStr">
        <is>
          <t>traceability</t>
        </is>
      </c>
      <c r="AH2" s="64" t="inlineStr">
        <is>
          <t>access_permission</t>
        </is>
      </c>
      <c r="AI2" s="64" t="inlineStr">
        <is>
          <t>automation_readiness</t>
        </is>
      </c>
      <c r="AJ2" s="64" t="inlineStr">
        <is>
          <t>operator_selection_decision</t>
        </is>
      </c>
      <c r="AK2" s="64" t="inlineStr">
        <is>
          <t>manual_update_date</t>
        </is>
      </c>
      <c r="AL2" s="64" t="inlineStr">
        <is>
          <t>manual_updated_by</t>
        </is>
      </c>
      <c r="AM2" s="64" t="inlineStr">
        <is>
          <t>source_status</t>
        </is>
      </c>
      <c r="AN2" s="64" t="inlineStr">
        <is>
          <t>primary_source_id</t>
        </is>
      </c>
      <c r="AO2" s="64" t="inlineStr">
        <is>
          <t>notes</t>
        </is>
      </c>
      <c r="AP2" s="64" t="inlineStr">
        <is>
          <t>acquisition_channel</t>
        </is>
      </c>
      <c r="AQ2" s="64" t="inlineStr">
        <is>
          <t>provenance_status</t>
        </is>
      </c>
      <c r="AR2" s="64" t="inlineStr">
        <is>
          <t>update_model</t>
        </is>
      </c>
      <c r="AS2" s="64" t="inlineStr">
        <is>
          <t>applicability_reference</t>
        </is>
      </c>
    </row>
    <row r="3" ht="20" customHeight="1">
      <c r="A3" s="33" t="inlineStr">
        <is>
          <t>PA001</t>
        </is>
      </c>
      <c r="B3" s="33" t="inlineStr">
        <is>
          <t>PA001-001</t>
        </is>
      </c>
      <c r="C3" s="56"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20" customHeight="1">
      <c r="A4" s="36" t="inlineStr">
        <is>
          <t>PA002</t>
        </is>
      </c>
      <c r="B4" s="36" t="inlineStr">
        <is>
          <t>PA002-001</t>
        </is>
      </c>
      <c r="C4" s="53"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NO</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20" customHeight="1">
      <c r="A5" s="33" t="inlineStr">
        <is>
          <t>PA003</t>
        </is>
      </c>
      <c r="B5" s="33" t="inlineStr">
        <is>
          <t>PA003-001</t>
        </is>
      </c>
      <c r="C5" s="56"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20" customHeight="1">
      <c r="A6" s="36" t="inlineStr">
        <is>
          <t>PA004</t>
        </is>
      </c>
      <c r="B6" s="36" t="inlineStr">
        <is>
          <t>PA004-001</t>
        </is>
      </c>
      <c r="C6" s="53"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56"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53"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56"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53"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56"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NO</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20" customHeight="1">
      <c r="A12" s="36" t="inlineStr">
        <is>
          <t>PA010</t>
        </is>
      </c>
      <c r="B12" s="36" t="inlineStr">
        <is>
          <t>PA010-001</t>
        </is>
      </c>
      <c r="C12" s="53"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56"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20" customHeight="1">
      <c r="A14" s="36" t="inlineStr">
        <is>
          <t>PA012</t>
        </is>
      </c>
      <c r="B14" s="36" t="inlineStr">
        <is>
          <t>PA012-001</t>
        </is>
      </c>
      <c r="C14" s="53"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56"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53"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20" customHeight="1">
      <c r="A17" s="33" t="inlineStr">
        <is>
          <t>PA015</t>
        </is>
      </c>
      <c r="B17" s="33" t="inlineStr">
        <is>
          <t>PA015-001</t>
        </is>
      </c>
      <c r="C17" s="56"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20" customHeight="1">
      <c r="A18" s="36" t="inlineStr">
        <is>
          <t>PA016</t>
        </is>
      </c>
      <c r="B18" s="36" t="inlineStr">
        <is>
          <t>PA016-001</t>
        </is>
      </c>
      <c r="C18" s="53"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NO</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56"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53"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56"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20" customHeight="1">
      <c r="A22" s="36" t="inlineStr">
        <is>
          <t>PA020</t>
        </is>
      </c>
      <c r="B22" s="36" t="inlineStr">
        <is>
          <t>PA020-001</t>
        </is>
      </c>
      <c r="C22" s="53"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20" customHeight="1">
      <c r="A23" s="33" t="inlineStr">
        <is>
          <t>PA021</t>
        </is>
      </c>
      <c r="B23" s="33" t="inlineStr">
        <is>
          <t>PA021-001</t>
        </is>
      </c>
      <c r="C23" s="56"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20" customHeight="1">
      <c r="A24" s="36" t="inlineStr">
        <is>
          <t>PA022</t>
        </is>
      </c>
      <c r="B24" s="36" t="inlineStr">
        <is>
          <t>PA022-001</t>
        </is>
      </c>
      <c r="C24" s="53"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56"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53"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56"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20" customHeight="1">
      <c r="A28" s="36" t="inlineStr">
        <is>
          <t>PA026</t>
        </is>
      </c>
      <c r="B28" s="36" t="inlineStr">
        <is>
          <t>PA026-001</t>
        </is>
      </c>
      <c r="C28" s="53"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56"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53"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56"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20" customHeight="1">
      <c r="A32" s="36" t="inlineStr">
        <is>
          <t>PA030</t>
        </is>
      </c>
      <c r="B32" s="36" t="inlineStr">
        <is>
          <t>PA030-001</t>
        </is>
      </c>
      <c r="C32" s="53"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20" customHeight="1">
      <c r="A33" s="33" t="inlineStr">
        <is>
          <t>PA031</t>
        </is>
      </c>
      <c r="B33" s="33" t="inlineStr">
        <is>
          <t>PA031-001</t>
        </is>
      </c>
      <c r="C33" s="56"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53"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56"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20" customHeight="1">
      <c r="A36" s="36" t="inlineStr">
        <is>
          <t>PA034</t>
        </is>
      </c>
      <c r="B36" s="36" t="inlineStr">
        <is>
          <t>PA034-001</t>
        </is>
      </c>
      <c r="C36" s="53"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20" customHeight="1">
      <c r="A37" s="33" t="inlineStr">
        <is>
          <t>PA035</t>
        </is>
      </c>
      <c r="B37" s="33" t="inlineStr">
        <is>
          <t>PA035-001</t>
        </is>
      </c>
      <c r="C37" s="56"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20" customHeight="1">
      <c r="A38" s="36" t="inlineStr">
        <is>
          <t>PA036</t>
        </is>
      </c>
      <c r="B38" s="36" t="inlineStr">
        <is>
          <t>PA036-001</t>
        </is>
      </c>
      <c r="C38" s="53"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20" customHeight="1">
      <c r="A39" s="33" t="inlineStr">
        <is>
          <t>PA037</t>
        </is>
      </c>
      <c r="B39" s="33" t="inlineStr">
        <is>
          <t>PA037-001</t>
        </is>
      </c>
      <c r="C39" s="56"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53"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56"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53"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56"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53"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20" customHeight="1">
      <c r="A45" s="33" t="inlineStr">
        <is>
          <t>PA043</t>
        </is>
      </c>
      <c r="B45" s="33" t="inlineStr">
        <is>
          <t>PA043-001</t>
        </is>
      </c>
      <c r="C45" s="56"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20" customHeight="1">
      <c r="A46" s="36" t="inlineStr">
        <is>
          <t>PA044</t>
        </is>
      </c>
      <c r="B46" s="36" t="inlineStr">
        <is>
          <t>PA044-001</t>
        </is>
      </c>
      <c r="C46" s="53"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NO</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20" customHeight="1">
      <c r="A47" s="33" t="inlineStr">
        <is>
          <t>PA045</t>
        </is>
      </c>
      <c r="B47" s="33" t="inlineStr">
        <is>
          <t>PA045-001</t>
        </is>
      </c>
      <c r="C47" s="56"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53"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56"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20" customHeight="1">
      <c r="A50" s="36" t="inlineStr">
        <is>
          <t>PA048</t>
        </is>
      </c>
      <c r="B50" s="36" t="inlineStr">
        <is>
          <t>PA048-001</t>
        </is>
      </c>
      <c r="C50" s="53"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20" customHeight="1">
      <c r="A51" s="33" t="inlineStr">
        <is>
          <t>PA049</t>
        </is>
      </c>
      <c r="B51" s="33" t="inlineStr">
        <is>
          <t>PA049-001</t>
        </is>
      </c>
      <c r="C51" s="56"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53"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56"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53"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56"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53"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56"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20" customHeight="1">
      <c r="A58" s="36" t="inlineStr">
        <is>
          <t>PA056</t>
        </is>
      </c>
      <c r="B58" s="36" t="inlineStr">
        <is>
          <t>PA056-001</t>
        </is>
      </c>
      <c r="C58" s="53"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20" customHeight="1">
      <c r="A59" s="33" t="inlineStr">
        <is>
          <t>PA057</t>
        </is>
      </c>
      <c r="B59" s="33" t="inlineStr">
        <is>
          <t>PA057-001</t>
        </is>
      </c>
      <c r="C59" s="56"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53"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56"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53"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20" customHeight="1">
      <c r="A63" s="33" t="inlineStr">
        <is>
          <t>SB001</t>
        </is>
      </c>
      <c r="B63" s="33" t="inlineStr">
        <is>
          <t>SB001-001</t>
        </is>
      </c>
      <c r="C63" s="56"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20" customHeight="1">
      <c r="A64" s="36" t="inlineStr">
        <is>
          <t>SB002</t>
        </is>
      </c>
      <c r="B64" s="36" t="inlineStr">
        <is>
          <t>SB002-001</t>
        </is>
      </c>
      <c r="C64" s="53"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56"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53"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56"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20" customHeight="1">
      <c r="A68" s="36" t="inlineStr">
        <is>
          <t>SB006</t>
        </is>
      </c>
      <c r="B68" s="36" t="inlineStr">
        <is>
          <t>SB006-001</t>
        </is>
      </c>
      <c r="C68" s="53"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20" customHeight="1">
      <c r="A69" s="33" t="inlineStr">
        <is>
          <t>SB007</t>
        </is>
      </c>
      <c r="B69" s="33" t="inlineStr">
        <is>
          <t>SB007-001</t>
        </is>
      </c>
      <c r="C69" s="56"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53"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56"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NO</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53"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56"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20" customHeight="1">
      <c r="A74" s="36" t="inlineStr">
        <is>
          <t>CS005</t>
        </is>
      </c>
      <c r="B74" s="36" t="inlineStr">
        <is>
          <t>CS005-001</t>
        </is>
      </c>
      <c r="C74" s="53"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56"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53"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20" customHeight="1">
      <c r="A77" s="33" t="inlineStr">
        <is>
          <t>CS008</t>
        </is>
      </c>
      <c r="B77" s="33" t="inlineStr">
        <is>
          <t>CS008-001</t>
        </is>
      </c>
      <c r="C77" s="56"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53"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20" customHeight="1">
      <c r="A79" s="33" t="inlineStr">
        <is>
          <t>CS010</t>
        </is>
      </c>
      <c r="B79" s="33" t="inlineStr">
        <is>
          <t>CS010-001</t>
        </is>
      </c>
      <c r="C79" s="56"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53"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56"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20" customHeight="1">
      <c r="A82" s="36" t="inlineStr">
        <is>
          <t>CS013</t>
        </is>
      </c>
      <c r="B82" s="36" t="inlineStr">
        <is>
          <t>CS013-001</t>
        </is>
      </c>
      <c r="C82" s="53"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20" customHeight="1">
      <c r="A83" s="33" t="inlineStr">
        <is>
          <t>CS014</t>
        </is>
      </c>
      <c r="B83" s="33" t="inlineStr">
        <is>
          <t>CS014-001</t>
        </is>
      </c>
      <c r="C83" s="56"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53"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56"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20" customHeight="1">
      <c r="A86" s="36" t="inlineStr">
        <is>
          <t>CS017</t>
        </is>
      </c>
      <c r="B86" s="36" t="inlineStr">
        <is>
          <t>CS017-001</t>
        </is>
      </c>
      <c r="C86" s="53"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56"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53"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56"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0" customHeight="1">
      <c r="A90" s="2" t="n"/>
      <c r="B90" s="2" t="n"/>
      <c r="C90" s="2" t="n"/>
      <c r="D90" s="2" t="n"/>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2" t="n"/>
      <c r="G90" s="81" t="n"/>
      <c r="H90" s="81" t="n"/>
      <c r="I90" s="2" t="n"/>
      <c r="J90" s="2" t="n"/>
      <c r="K90" s="75" t="str">
        <f>IF(A90="","",IF(J90="AUTO",H90,IF(J90="MANUAL",AK90,"")))</f>
        <v/>
      </c>
      <c r="L90" s="2" t="n"/>
      <c r="M90" s="2" t="n"/>
      <c r="N90" s="53" t="str">
        <f>IF(A90="","",IF(COUNTIFS('Human Operation Desktop'!$A$3:$A$502,A90,'Human Operation Desktop'!$I$3:$I$502,"&lt;&gt;APPLIED",'Human Operation Desktop'!$I$3:$I$502,"&lt;&gt;REJECTED")&gt;0,"YES","NO"))</f>
        <v/>
      </c>
      <c r="O90" s="2"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76" t="n"/>
      <c r="AL90" s="3" t="n"/>
      <c r="AM90" s="3" t="n"/>
      <c r="AN90" s="3" t="n"/>
      <c r="AO90" s="3" t="n"/>
      <c r="AP90" s="3" t="n"/>
      <c r="AQ90" s="3" t="n"/>
      <c r="AR90" s="3" t="n"/>
      <c r="AS90" s="3" t="n"/>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46272.6616087963</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87</v>
      </c>
      <c r="B5" s="59" t="n"/>
      <c r="C5" s="58" t="n">
        <f>COUNTIF(SourceRegisterTable[selection_status],"INCLUDE")</f>
        <v>38</v>
      </c>
      <c r="D5" s="59" t="n"/>
      <c r="E5" s="58" t="n">
        <f>COUNTIF(SourceRegisterTable[snapshot_status],"STORED")</f>
        <v>70</v>
      </c>
      <c r="F5" s="65" t="n"/>
      <c r="G5" s="59" t="n"/>
      <c r="H5" s="56" t="n">
        <f>COUNTIF(HumanOperationsTable[program_status],"PENDING")+COUNTIF(HumanOperationsTable[program_status],"WAITING_FOR_HUMAN")+COUNTIF(HumanOperationsTable[program_status],"NEEDS_REPLAN")</f>
        <v>30</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0</v>
      </c>
      <c r="T6" s="44" t="n">
        <f>COUNTIFS(SourceRegisterTable[folder_code],U6,SourceRegisterTable[selection_status],"INCLUDE")</f>
        <v>0</v>
      </c>
      <c r="U6" s="44" t="inlineStr">
        <is>
          <t>E_Project_Engineering</t>
        </is>
      </c>
    </row>
    <row r="7" ht="20" customHeight="1">
      <c r="A7" s="58" t="inlineStr">
        <is>
          <t>Registered sources</t>
        </is>
      </c>
      <c r="B7" s="55" t="n"/>
      <c r="C7" s="58" t="str">
        <f>TEXT(C5/A5,"0%")&amp;" of total"</f>
        <v>44% of total</v>
      </c>
      <c r="D7" s="55" t="n"/>
      <c r="E7" s="58" t="str">
        <f>TEXT(E5/A5,"0%")&amp;" collection rate"</f>
        <v>80% collection rate</v>
      </c>
      <c r="F7" s="54" t="n"/>
      <c r="G7" s="55" t="n"/>
      <c r="H7" s="56" t="str">
        <f>"Oldest: "&amp;S17&amp;" days"</f>
        <v>Oldest: 7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38</v>
      </c>
      <c r="T11" s="63" t="n">
        <f>IFERROR(S11/SUM($S$11:$S$13),0)</f>
        <v>0.4367816091954023</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0.28735632183908044</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0.27586206896551724</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30</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7</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70</v>
      </c>
      <c r="T20" s="67" t="n">
        <f>IFERROR(S20/A5,0)</f>
        <v>0.8045977011494253</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0.10344827586206896</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0.08045977011494253</v>
      </c>
    </row>
    <row r="23" ht="20" customHeight="1">
      <c r="A23" s="13" t="n"/>
      <c r="B23" s="13" t="n"/>
      <c r="C23" s="13" t="n"/>
      <c r="D23" s="13" t="n"/>
      <c r="E23" s="13" t="n"/>
      <c r="F23" s="13" t="n"/>
      <c r="G23" s="13" t="n"/>
      <c r="H23" s="13" t="n"/>
      <c r="I23" s="13" t="n"/>
      <c r="J23" s="13" t="n"/>
      <c r="K23" s="56" t="str">
        <f>S11&amp;" | "&amp;TEXT(T11,"0%")</f>
        <v>38 | 44%</v>
      </c>
      <c r="L23" s="59" t="n"/>
      <c r="M23" s="56" t="str">
        <f>S12&amp;" | "&amp;TEXT(T12,"0%")</f>
        <v>25 | 29%</v>
      </c>
      <c r="N23" s="59" t="n"/>
      <c r="O23" s="56" t="str">
        <f>S13&amp;" | "&amp;TEXT(T13,"0%")</f>
        <v>24 | 28%</v>
      </c>
      <c r="P23" s="59" t="n"/>
      <c r="R23" s="43" t="inlineStr">
        <is>
          <t>FAIL</t>
        </is>
      </c>
      <c r="S23" s="43" t="n">
        <f>COUNTIF(SourceRegisterTable[download_status],R23)</f>
        <v>1</v>
      </c>
      <c r="T23" s="63" t="n">
        <f>IFERROR(S23/A5,0)</f>
        <v>0.011494252873563218</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70</v>
      </c>
      <c r="E28" s="54" t="n"/>
      <c r="F28" s="55" t="n"/>
      <c r="G28" s="67" t="n">
        <f>T20</f>
        <v>0.8045977011494253</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0.10344827586206896</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0.08045977011494253</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4</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0.011494252873563218</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6</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6</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6</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6</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6</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7</v>
      </c>
    </row>
    <row r="125" ht="20" customHeight="1">
      <c r="R125" s="43" t="str">
        <f>'Human Operation Desktop'!I98</f>
        <v>PENDING</v>
      </c>
      <c r="S125" s="43" t="n">
        <f>'Human Operation Desktop'!AQ98</f>
        <v>46266.41396990741</v>
      </c>
      <c r="T125" s="43" t="n">
        <f>IF(AND(S125&gt;0,OR(R125="PENDING",R125="WAITING_FOR_HUMAN",R125="NEEDS_REPLAN")),MAX(0,INT(TODAY()-S125)),0)</f>
        <v>7</v>
      </c>
    </row>
    <row r="126" ht="20" customHeight="1">
      <c r="R126" s="44" t="str">
        <f>'Human Operation Desktop'!I99</f>
        <v>PENDING</v>
      </c>
      <c r="S126" s="44" t="n">
        <f>'Human Operation Desktop'!AQ99</f>
        <v>46266.41396990741</v>
      </c>
      <c r="T126" s="44" t="n">
        <f>IF(AND(S126&gt;0,OR(R126="PENDING",R126="WAITING_FOR_HUMAN",R126="NEEDS_REPLAN")),MAX(0,INT(TODAY()-S126)),0)</f>
        <v>7</v>
      </c>
    </row>
    <row r="127" ht="20" customHeight="1">
      <c r="R127" s="43" t="str">
        <f>'Human Operation Desktop'!I100</f>
        <v>PENDING</v>
      </c>
      <c r="S127" s="43" t="n">
        <f>'Human Operation Desktop'!AQ100</f>
        <v>46266.41396990741</v>
      </c>
      <c r="T127" s="43" t="n">
        <f>IF(AND(S127&gt;0,OR(R127="PENDING",R127="WAITING_FOR_HUMAN",R127="NEEDS_REPLAN")),MAX(0,INT(TODAY()-S127)),0)</f>
        <v>7</v>
      </c>
    </row>
    <row r="128" ht="20" customHeight="1">
      <c r="R128" s="44" t="str">
        <f>'Human Operation Desktop'!I101</f>
        <v>PENDING</v>
      </c>
      <c r="S128" s="44" t="n">
        <f>'Human Operation Desktop'!AQ101</f>
        <v>46266.41396990741</v>
      </c>
      <c r="T128" s="44" t="n">
        <f>IF(AND(S128&gt;0,OR(R128="PENDING",R128="WAITING_FOR_HUMAN",R128="NEEDS_REPLAN")),MAX(0,INT(TODAY()-S128)),0)</f>
        <v>7</v>
      </c>
    </row>
    <row r="129" ht="20" customHeight="1">
      <c r="R129" s="43" t="str">
        <f>'Human Operation Desktop'!I102</f>
        <v>PENDING</v>
      </c>
      <c r="S129" s="43" t="n">
        <f>'Human Operation Desktop'!AQ102</f>
        <v>46266.41396990741</v>
      </c>
      <c r="T129" s="43" t="n">
        <f>IF(AND(S129&gt;0,OR(R129="PENDING",R129="WAITING_FOR_HUMAN",R129="NEEDS_REPLAN")),MAX(0,INT(TODAY()-S129)),0)</f>
        <v>7</v>
      </c>
    </row>
    <row r="130" ht="20" customHeight="1">
      <c r="R130" s="44" t="str">
        <f>'Human Operation Desktop'!I103</f>
        <v>PENDING</v>
      </c>
      <c r="S130" s="44" t="n">
        <f>'Human Operation Desktop'!AQ103</f>
        <v>46266.41396990741</v>
      </c>
      <c r="T130" s="44" t="n">
        <f>IF(AND(S130&gt;0,OR(R130="PENDING",R130="WAITING_FOR_HUMAN",R130="NEEDS_REPLAN")),MAX(0,INT(TODAY()-S130)),0)</f>
        <v>7</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horizontalDpi="0"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88"/>
  <sheetViews>
    <sheetView showGridLines="0" tabSelected="0"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38" customWidth="1" min="7" max="7"/>
    <col width="38" customWidth="1" min="8" max="8"/>
    <col width="38" customWidth="1" min="9" max="9"/>
    <col hidden="1" width="38" customWidth="1" min="10" max="10"/>
    <col hidden="1" width="38" customWidth="1" min="11" max="11"/>
    <col hidden="1" width="38" customWidth="1" min="12" max="12"/>
  </cols>
  <sheetData>
    <row r="1" ht="45" customHeight="1">
      <c r="A1" s="93" t="inlineStr">
        <is>
          <t>Source ID</t>
        </is>
      </c>
      <c r="B1" s="93" t="inlineStr">
        <is>
          <t>Authority Quality confidence</t>
        </is>
      </c>
      <c r="C1" s="93" t="inlineStr">
        <is>
          <t>Scope Relevance confidence</t>
        </is>
      </c>
      <c r="D1" s="93" t="inlineStr">
        <is>
          <t>Version Currency confidence</t>
        </is>
      </c>
      <c r="E1" s="93" t="inlineStr">
        <is>
          <t>Traceability confidence</t>
        </is>
      </c>
      <c r="F1" s="93" t="inlineStr">
        <is>
          <t>Access Permission confidence</t>
        </is>
      </c>
      <c r="G1" s="93" t="inlineStr">
        <is>
          <t>Calibration status</t>
        </is>
      </c>
      <c r="H1" s="93" t="inlineStr">
        <is>
          <t>Policy revision</t>
        </is>
      </c>
      <c r="I1" s="93" t="inlineStr">
        <is>
          <t>Threshold</t>
        </is>
      </c>
      <c r="J1" s="93" t="inlineStr">
        <is>
          <t>Source SHA256</t>
        </is>
      </c>
      <c r="K1" s="93" t="inlineStr">
        <is>
          <t>Assessment ID</t>
        </is>
      </c>
      <c r="L1" s="93" t="inlineStr">
        <is>
          <t>Assessment method / evidence</t>
        </is>
      </c>
    </row>
    <row r="2">
      <c r="A2" s="94" t="inlineStr">
        <is>
          <t>PA001</t>
        </is>
      </c>
      <c r="B2" s="95" t="n"/>
      <c r="C2" s="95" t="n"/>
      <c r="D2" s="95" t="n"/>
      <c r="E2" s="95" t="n"/>
      <c r="F2" s="95" t="n"/>
      <c r="G2" s="94" t="inlineStr">
        <is>
          <t>No current version-bound assessment</t>
        </is>
      </c>
      <c r="H2" s="94" t="n">
        <v>1</v>
      </c>
      <c r="I2" s="95" t="n">
        <v>0.95</v>
      </c>
      <c r="J2" s="94" t="n"/>
      <c r="K2" s="94" t="n"/>
      <c r="L2" s="94" t="inlineStr"/>
    </row>
    <row r="3">
      <c r="A3" s="94" t="inlineStr">
        <is>
          <t>PA002</t>
        </is>
      </c>
      <c r="B3" s="95" t="n"/>
      <c r="C3" s="95" t="n"/>
      <c r="D3" s="95" t="n"/>
      <c r="E3" s="95" t="n"/>
      <c r="F3" s="95" t="n"/>
      <c r="G3" s="94" t="inlineStr">
        <is>
          <t>No current version-bound assessment</t>
        </is>
      </c>
      <c r="H3" s="94" t="n">
        <v>1</v>
      </c>
      <c r="I3" s="95" t="n">
        <v>0.95</v>
      </c>
      <c r="J3" s="94" t="n"/>
      <c r="K3" s="94" t="n"/>
      <c r="L3" s="94" t="inlineStr"/>
    </row>
    <row r="4">
      <c r="A4" s="94" t="inlineStr">
        <is>
          <t>PA003</t>
        </is>
      </c>
      <c r="B4" s="95" t="n"/>
      <c r="C4" s="95" t="n"/>
      <c r="D4" s="95" t="n"/>
      <c r="E4" s="95" t="n"/>
      <c r="F4" s="95" t="n"/>
      <c r="G4" s="94" t="inlineStr">
        <is>
          <t>No current version-bound assessment</t>
        </is>
      </c>
      <c r="H4" s="94" t="n">
        <v>1</v>
      </c>
      <c r="I4" s="95" t="n">
        <v>0.95</v>
      </c>
      <c r="J4" s="94" t="n"/>
      <c r="K4" s="94" t="n"/>
      <c r="L4" s="94" t="inlineStr"/>
    </row>
    <row r="5">
      <c r="A5" s="94" t="inlineStr">
        <is>
          <t>PA004</t>
        </is>
      </c>
      <c r="B5" s="95" t="n"/>
      <c r="C5" s="95" t="n"/>
      <c r="D5" s="95" t="n"/>
      <c r="E5" s="95" t="n"/>
      <c r="F5" s="95" t="n"/>
      <c r="G5" s="94" t="inlineStr">
        <is>
          <t>No current version-bound assessment</t>
        </is>
      </c>
      <c r="H5" s="94" t="n">
        <v>1</v>
      </c>
      <c r="I5" s="95" t="n">
        <v>0.95</v>
      </c>
      <c r="J5" s="94" t="n"/>
      <c r="K5" s="94" t="n"/>
      <c r="L5" s="94" t="inlineStr"/>
    </row>
    <row r="6">
      <c r="A6" s="94" t="inlineStr">
        <is>
          <t>PA005</t>
        </is>
      </c>
      <c r="B6" s="95" t="n"/>
      <c r="C6" s="95" t="n"/>
      <c r="D6" s="95" t="n"/>
      <c r="E6" s="95" t="n"/>
      <c r="F6" s="95" t="n"/>
      <c r="G6" s="94" t="inlineStr">
        <is>
          <t>No current version-bound assessment</t>
        </is>
      </c>
      <c r="H6" s="94" t="n">
        <v>1</v>
      </c>
      <c r="I6" s="95" t="n">
        <v>0.95</v>
      </c>
      <c r="J6" s="94" t="n"/>
      <c r="K6" s="94" t="n"/>
      <c r="L6" s="94" t="inlineStr"/>
    </row>
    <row r="7">
      <c r="A7" s="94" t="inlineStr">
        <is>
          <t>PA006</t>
        </is>
      </c>
      <c r="B7" s="95" t="n"/>
      <c r="C7" s="95" t="n"/>
      <c r="D7" s="95" t="n"/>
      <c r="E7" s="95" t="n"/>
      <c r="F7" s="95" t="n"/>
      <c r="G7" s="94" t="inlineStr">
        <is>
          <t>No current version-bound assessment</t>
        </is>
      </c>
      <c r="H7" s="94" t="n">
        <v>1</v>
      </c>
      <c r="I7" s="95" t="n">
        <v>0.95</v>
      </c>
      <c r="J7" s="94" t="n"/>
      <c r="K7" s="94" t="n"/>
      <c r="L7" s="94" t="inlineStr"/>
    </row>
    <row r="8">
      <c r="A8" s="94" t="inlineStr">
        <is>
          <t>PA007</t>
        </is>
      </c>
      <c r="B8" s="95" t="n"/>
      <c r="C8" s="95" t="n"/>
      <c r="D8" s="95" t="n"/>
      <c r="E8" s="95" t="n"/>
      <c r="F8" s="95" t="n"/>
      <c r="G8" s="94" t="inlineStr">
        <is>
          <t>No current version-bound assessment</t>
        </is>
      </c>
      <c r="H8" s="94" t="n">
        <v>1</v>
      </c>
      <c r="I8" s="95" t="n">
        <v>0.95</v>
      </c>
      <c r="J8" s="94" t="n"/>
      <c r="K8" s="94" t="n"/>
      <c r="L8" s="94" t="inlineStr"/>
    </row>
    <row r="9">
      <c r="A9" s="94" t="inlineStr">
        <is>
          <t>PA008</t>
        </is>
      </c>
      <c r="B9" s="95" t="n"/>
      <c r="C9" s="95" t="n"/>
      <c r="D9" s="95" t="n"/>
      <c r="E9" s="95" t="n"/>
      <c r="F9" s="95" t="n"/>
      <c r="G9" s="94" t="inlineStr">
        <is>
          <t>No current version-bound assessment</t>
        </is>
      </c>
      <c r="H9" s="94" t="n">
        <v>1</v>
      </c>
      <c r="I9" s="95" t="n">
        <v>0.95</v>
      </c>
      <c r="J9" s="94" t="n"/>
      <c r="K9" s="94" t="n"/>
      <c r="L9" s="94" t="inlineStr"/>
    </row>
    <row r="10">
      <c r="A10" s="94" t="inlineStr">
        <is>
          <t>PA009</t>
        </is>
      </c>
      <c r="B10" s="95" t="n"/>
      <c r="C10" s="95" t="n"/>
      <c r="D10" s="95" t="n"/>
      <c r="E10" s="95" t="n"/>
      <c r="F10" s="95" t="n"/>
      <c r="G10" s="94" t="inlineStr">
        <is>
          <t>No current version-bound assessment</t>
        </is>
      </c>
      <c r="H10" s="94" t="n">
        <v>1</v>
      </c>
      <c r="I10" s="95" t="n">
        <v>0.95</v>
      </c>
      <c r="J10" s="94" t="n"/>
      <c r="K10" s="94" t="n"/>
      <c r="L10" s="94" t="inlineStr"/>
    </row>
    <row r="11">
      <c r="A11" s="94" t="inlineStr">
        <is>
          <t>PA010</t>
        </is>
      </c>
      <c r="B11" s="95" t="n"/>
      <c r="C11" s="95" t="n"/>
      <c r="D11" s="95" t="n"/>
      <c r="E11" s="95" t="n"/>
      <c r="F11" s="95" t="n"/>
      <c r="G11" s="94" t="inlineStr">
        <is>
          <t>No current version-bound assessment</t>
        </is>
      </c>
      <c r="H11" s="94" t="n">
        <v>1</v>
      </c>
      <c r="I11" s="95" t="n">
        <v>0.95</v>
      </c>
      <c r="J11" s="94" t="n"/>
      <c r="K11" s="94" t="n"/>
      <c r="L11" s="94" t="inlineStr"/>
    </row>
    <row r="12">
      <c r="A12" s="94" t="inlineStr">
        <is>
          <t>PA011</t>
        </is>
      </c>
      <c r="B12" s="95" t="n"/>
      <c r="C12" s="95" t="n"/>
      <c r="D12" s="95" t="n"/>
      <c r="E12" s="95" t="n"/>
      <c r="F12" s="95" t="n"/>
      <c r="G12" s="94" t="inlineStr">
        <is>
          <t>No current version-bound assessment</t>
        </is>
      </c>
      <c r="H12" s="94" t="n">
        <v>1</v>
      </c>
      <c r="I12" s="95" t="n">
        <v>0.95</v>
      </c>
      <c r="J12" s="94" t="n"/>
      <c r="K12" s="94" t="n"/>
      <c r="L12" s="94" t="inlineStr"/>
    </row>
    <row r="13">
      <c r="A13" s="94" t="inlineStr">
        <is>
          <t>PA012</t>
        </is>
      </c>
      <c r="B13" s="95" t="n"/>
      <c r="C13" s="95" t="n"/>
      <c r="D13" s="95" t="n"/>
      <c r="E13" s="95" t="n"/>
      <c r="F13" s="95" t="n"/>
      <c r="G13" s="94" t="inlineStr">
        <is>
          <t>No current version-bound assessment</t>
        </is>
      </c>
      <c r="H13" s="94" t="n">
        <v>1</v>
      </c>
      <c r="I13" s="95" t="n">
        <v>0.95</v>
      </c>
      <c r="J13" s="94" t="n"/>
      <c r="K13" s="94" t="n"/>
      <c r="L13" s="94" t="inlineStr"/>
    </row>
    <row r="14">
      <c r="A14" s="94" t="inlineStr">
        <is>
          <t>PA013</t>
        </is>
      </c>
      <c r="B14" s="95" t="n"/>
      <c r="C14" s="95" t="n"/>
      <c r="D14" s="95" t="n"/>
      <c r="E14" s="95" t="n"/>
      <c r="F14" s="95" t="n"/>
      <c r="G14" s="94" t="inlineStr">
        <is>
          <t>No current version-bound assessment</t>
        </is>
      </c>
      <c r="H14" s="94" t="n">
        <v>1</v>
      </c>
      <c r="I14" s="95" t="n">
        <v>0.95</v>
      </c>
      <c r="J14" s="94" t="n"/>
      <c r="K14" s="94" t="n"/>
      <c r="L14" s="94" t="inlineStr"/>
    </row>
    <row r="15">
      <c r="A15" s="94" t="inlineStr">
        <is>
          <t>PA014</t>
        </is>
      </c>
      <c r="B15" s="95" t="n"/>
      <c r="C15" s="95" t="n"/>
      <c r="D15" s="95" t="n"/>
      <c r="E15" s="95" t="n"/>
      <c r="F15" s="95" t="n"/>
      <c r="G15" s="94" t="inlineStr">
        <is>
          <t>No current version-bound assessment</t>
        </is>
      </c>
      <c r="H15" s="94" t="n">
        <v>1</v>
      </c>
      <c r="I15" s="95" t="n">
        <v>0.95</v>
      </c>
      <c r="J15" s="94" t="n"/>
      <c r="K15" s="94" t="n"/>
      <c r="L15" s="94" t="inlineStr"/>
    </row>
    <row r="16">
      <c r="A16" s="94" t="inlineStr">
        <is>
          <t>PA015</t>
        </is>
      </c>
      <c r="B16" s="95" t="n"/>
      <c r="C16" s="95" t="n"/>
      <c r="D16" s="95" t="n"/>
      <c r="E16" s="95" t="n"/>
      <c r="F16" s="95" t="n"/>
      <c r="G16" s="94" t="inlineStr">
        <is>
          <t>No current version-bound assessment</t>
        </is>
      </c>
      <c r="H16" s="94" t="n">
        <v>1</v>
      </c>
      <c r="I16" s="95" t="n">
        <v>0.95</v>
      </c>
      <c r="J16" s="94" t="n"/>
      <c r="K16" s="94" t="n"/>
      <c r="L16" s="94" t="inlineStr"/>
    </row>
    <row r="17">
      <c r="A17" s="94" t="inlineStr">
        <is>
          <t>PA016</t>
        </is>
      </c>
      <c r="B17" s="95" t="n"/>
      <c r="C17" s="95" t="n"/>
      <c r="D17" s="95" t="n"/>
      <c r="E17" s="95" t="n"/>
      <c r="F17" s="95" t="n"/>
      <c r="G17" s="94" t="inlineStr">
        <is>
          <t>No current version-bound assessment</t>
        </is>
      </c>
      <c r="H17" s="94" t="n">
        <v>1</v>
      </c>
      <c r="I17" s="95" t="n">
        <v>0.95</v>
      </c>
      <c r="J17" s="94" t="n"/>
      <c r="K17" s="94" t="n"/>
      <c r="L17" s="94" t="inlineStr"/>
    </row>
    <row r="18">
      <c r="A18" s="94" t="inlineStr">
        <is>
          <t>PA017</t>
        </is>
      </c>
      <c r="B18" s="95" t="n"/>
      <c r="C18" s="95" t="n"/>
      <c r="D18" s="95" t="n"/>
      <c r="E18" s="95" t="n"/>
      <c r="F18" s="95" t="n"/>
      <c r="G18" s="94" t="inlineStr">
        <is>
          <t>No current version-bound assessment</t>
        </is>
      </c>
      <c r="H18" s="94" t="n">
        <v>1</v>
      </c>
      <c r="I18" s="95" t="n">
        <v>0.95</v>
      </c>
      <c r="J18" s="94" t="n"/>
      <c r="K18" s="94" t="n"/>
      <c r="L18" s="94" t="inlineStr"/>
    </row>
    <row r="19">
      <c r="A19" s="94" t="inlineStr">
        <is>
          <t>PA018</t>
        </is>
      </c>
      <c r="B19" s="95" t="n"/>
      <c r="C19" s="95" t="n"/>
      <c r="D19" s="95" t="n"/>
      <c r="E19" s="95" t="n"/>
      <c r="F19" s="95" t="n"/>
      <c r="G19" s="94" t="inlineStr">
        <is>
          <t>No current version-bound assessment</t>
        </is>
      </c>
      <c r="H19" s="94" t="n">
        <v>1</v>
      </c>
      <c r="I19" s="95" t="n">
        <v>0.95</v>
      </c>
      <c r="J19" s="94" t="n"/>
      <c r="K19" s="94" t="n"/>
      <c r="L19" s="94" t="inlineStr"/>
    </row>
    <row r="20">
      <c r="A20" s="94" t="inlineStr">
        <is>
          <t>PA019</t>
        </is>
      </c>
      <c r="B20" s="95" t="n"/>
      <c r="C20" s="95" t="n"/>
      <c r="D20" s="95" t="n"/>
      <c r="E20" s="95" t="n"/>
      <c r="F20" s="95" t="n"/>
      <c r="G20" s="94" t="inlineStr">
        <is>
          <t>No current version-bound assessment</t>
        </is>
      </c>
      <c r="H20" s="94" t="n">
        <v>1</v>
      </c>
      <c r="I20" s="95" t="n">
        <v>0.95</v>
      </c>
      <c r="J20" s="94" t="n"/>
      <c r="K20" s="94" t="n"/>
      <c r="L20" s="94" t="inlineStr"/>
    </row>
    <row r="21">
      <c r="A21" s="94" t="inlineStr">
        <is>
          <t>PA020</t>
        </is>
      </c>
      <c r="B21" s="95" t="n"/>
      <c r="C21" s="95" t="n"/>
      <c r="D21" s="95" t="n"/>
      <c r="E21" s="95" t="n"/>
      <c r="F21" s="95" t="n"/>
      <c r="G21" s="94" t="inlineStr">
        <is>
          <t>No current version-bound assessment</t>
        </is>
      </c>
      <c r="H21" s="94" t="n">
        <v>1</v>
      </c>
      <c r="I21" s="95" t="n">
        <v>0.95</v>
      </c>
      <c r="J21" s="94" t="n"/>
      <c r="K21" s="94" t="n"/>
      <c r="L21" s="94" t="inlineStr"/>
    </row>
    <row r="22">
      <c r="A22" s="94" t="inlineStr">
        <is>
          <t>PA021</t>
        </is>
      </c>
      <c r="B22" s="95" t="n"/>
      <c r="C22" s="95" t="n"/>
      <c r="D22" s="95" t="n"/>
      <c r="E22" s="95" t="n"/>
      <c r="F22" s="95" t="n"/>
      <c r="G22" s="94" t="inlineStr">
        <is>
          <t>No current version-bound assessment</t>
        </is>
      </c>
      <c r="H22" s="94" t="n">
        <v>1</v>
      </c>
      <c r="I22" s="95" t="n">
        <v>0.95</v>
      </c>
      <c r="J22" s="94" t="n"/>
      <c r="K22" s="94" t="n"/>
      <c r="L22" s="94" t="inlineStr"/>
    </row>
    <row r="23">
      <c r="A23" s="94" t="inlineStr">
        <is>
          <t>PA022</t>
        </is>
      </c>
      <c r="B23" s="95" t="n"/>
      <c r="C23" s="95" t="n"/>
      <c r="D23" s="95" t="n"/>
      <c r="E23" s="95" t="n"/>
      <c r="F23" s="95" t="n"/>
      <c r="G23" s="94" t="inlineStr">
        <is>
          <t>No current version-bound assessment</t>
        </is>
      </c>
      <c r="H23" s="94" t="n">
        <v>1</v>
      </c>
      <c r="I23" s="95" t="n">
        <v>0.95</v>
      </c>
      <c r="J23" s="94" t="n"/>
      <c r="K23" s="94" t="n"/>
      <c r="L23" s="94" t="inlineStr"/>
    </row>
    <row r="24">
      <c r="A24" s="94" t="inlineStr">
        <is>
          <t>PA023</t>
        </is>
      </c>
      <c r="B24" s="95" t="n"/>
      <c r="C24" s="95" t="n"/>
      <c r="D24" s="95" t="n"/>
      <c r="E24" s="95" t="n"/>
      <c r="F24" s="95" t="n"/>
      <c r="G24" s="94" t="inlineStr">
        <is>
          <t>No current version-bound assessment</t>
        </is>
      </c>
      <c r="H24" s="94" t="n">
        <v>1</v>
      </c>
      <c r="I24" s="95" t="n">
        <v>0.95</v>
      </c>
      <c r="J24" s="94" t="n"/>
      <c r="K24" s="94" t="n"/>
      <c r="L24" s="94" t="inlineStr"/>
    </row>
    <row r="25">
      <c r="A25" s="94" t="inlineStr">
        <is>
          <t>PA024</t>
        </is>
      </c>
      <c r="B25" s="95" t="n"/>
      <c r="C25" s="95" t="n"/>
      <c r="D25" s="95" t="n"/>
      <c r="E25" s="95" t="n"/>
      <c r="F25" s="95" t="n"/>
      <c r="G25" s="94" t="inlineStr">
        <is>
          <t>No current version-bound assessment</t>
        </is>
      </c>
      <c r="H25" s="94" t="n">
        <v>1</v>
      </c>
      <c r="I25" s="95" t="n">
        <v>0.95</v>
      </c>
      <c r="J25" s="94" t="n"/>
      <c r="K25" s="94" t="n"/>
      <c r="L25" s="94" t="inlineStr"/>
    </row>
    <row r="26">
      <c r="A26" s="94" t="inlineStr">
        <is>
          <t>PA025</t>
        </is>
      </c>
      <c r="B26" s="95" t="n"/>
      <c r="C26" s="95" t="n"/>
      <c r="D26" s="95" t="n"/>
      <c r="E26" s="95" t="n"/>
      <c r="F26" s="95" t="n"/>
      <c r="G26" s="94" t="inlineStr">
        <is>
          <t>No current version-bound assessment</t>
        </is>
      </c>
      <c r="H26" s="94" t="n">
        <v>1</v>
      </c>
      <c r="I26" s="95" t="n">
        <v>0.95</v>
      </c>
      <c r="J26" s="94" t="n"/>
      <c r="K26" s="94" t="n"/>
      <c r="L26" s="94" t="inlineStr"/>
    </row>
    <row r="27">
      <c r="A27" s="94" t="inlineStr">
        <is>
          <t>PA026</t>
        </is>
      </c>
      <c r="B27" s="95" t="n"/>
      <c r="C27" s="95" t="n"/>
      <c r="D27" s="95" t="n"/>
      <c r="E27" s="95" t="n"/>
      <c r="F27" s="95" t="n"/>
      <c r="G27" s="94" t="inlineStr">
        <is>
          <t>No current version-bound assessment</t>
        </is>
      </c>
      <c r="H27" s="94" t="n">
        <v>1</v>
      </c>
      <c r="I27" s="95" t="n">
        <v>0.95</v>
      </c>
      <c r="J27" s="94" t="n"/>
      <c r="K27" s="94" t="n"/>
      <c r="L27" s="94" t="inlineStr"/>
    </row>
    <row r="28">
      <c r="A28" s="94" t="inlineStr">
        <is>
          <t>PA027</t>
        </is>
      </c>
      <c r="B28" s="95" t="n"/>
      <c r="C28" s="95" t="n"/>
      <c r="D28" s="95" t="n"/>
      <c r="E28" s="95" t="n"/>
      <c r="F28" s="95" t="n"/>
      <c r="G28" s="94" t="inlineStr">
        <is>
          <t>No current version-bound assessment</t>
        </is>
      </c>
      <c r="H28" s="94" t="n">
        <v>1</v>
      </c>
      <c r="I28" s="95" t="n">
        <v>0.95</v>
      </c>
      <c r="J28" s="94" t="n"/>
      <c r="K28" s="94" t="n"/>
      <c r="L28" s="94" t="inlineStr"/>
    </row>
    <row r="29">
      <c r="A29" s="94" t="inlineStr">
        <is>
          <t>PA028</t>
        </is>
      </c>
      <c r="B29" s="95" t="n"/>
      <c r="C29" s="95" t="n"/>
      <c r="D29" s="95" t="n"/>
      <c r="E29" s="95" t="n"/>
      <c r="F29" s="95" t="n"/>
      <c r="G29" s="94" t="inlineStr">
        <is>
          <t>No current version-bound assessment</t>
        </is>
      </c>
      <c r="H29" s="94" t="n">
        <v>1</v>
      </c>
      <c r="I29" s="95" t="n">
        <v>0.95</v>
      </c>
      <c r="J29" s="94" t="n"/>
      <c r="K29" s="94" t="n"/>
      <c r="L29" s="94" t="inlineStr"/>
    </row>
    <row r="30">
      <c r="A30" s="94" t="inlineStr">
        <is>
          <t>PA029</t>
        </is>
      </c>
      <c r="B30" s="95" t="n"/>
      <c r="C30" s="95" t="n"/>
      <c r="D30" s="95" t="n"/>
      <c r="E30" s="95" t="n"/>
      <c r="F30" s="95" t="n"/>
      <c r="G30" s="94" t="inlineStr">
        <is>
          <t>No current version-bound assessment</t>
        </is>
      </c>
      <c r="H30" s="94" t="n">
        <v>1</v>
      </c>
      <c r="I30" s="95" t="n">
        <v>0.95</v>
      </c>
      <c r="J30" s="94" t="n"/>
      <c r="K30" s="94" t="n"/>
      <c r="L30" s="94" t="inlineStr"/>
    </row>
    <row r="31">
      <c r="A31" s="94" t="inlineStr">
        <is>
          <t>PA030</t>
        </is>
      </c>
      <c r="B31" s="95" t="n"/>
      <c r="C31" s="95" t="n"/>
      <c r="D31" s="95" t="n"/>
      <c r="E31" s="95" t="n"/>
      <c r="F31" s="95" t="n"/>
      <c r="G31" s="94" t="inlineStr">
        <is>
          <t>No current version-bound assessment</t>
        </is>
      </c>
      <c r="H31" s="94" t="n">
        <v>1</v>
      </c>
      <c r="I31" s="95" t="n">
        <v>0.95</v>
      </c>
      <c r="J31" s="94" t="n"/>
      <c r="K31" s="94" t="n"/>
      <c r="L31" s="94" t="inlineStr"/>
    </row>
    <row r="32">
      <c r="A32" s="94" t="inlineStr">
        <is>
          <t>PA031</t>
        </is>
      </c>
      <c r="B32" s="95" t="n"/>
      <c r="C32" s="95" t="n"/>
      <c r="D32" s="95" t="n"/>
      <c r="E32" s="95" t="n"/>
      <c r="F32" s="95" t="n"/>
      <c r="G32" s="94" t="inlineStr">
        <is>
          <t>No current version-bound assessment</t>
        </is>
      </c>
      <c r="H32" s="94" t="n">
        <v>1</v>
      </c>
      <c r="I32" s="95" t="n">
        <v>0.95</v>
      </c>
      <c r="J32" s="94" t="n"/>
      <c r="K32" s="94" t="n"/>
      <c r="L32" s="94" t="inlineStr"/>
    </row>
    <row r="33">
      <c r="A33" s="94" t="inlineStr">
        <is>
          <t>PA032</t>
        </is>
      </c>
      <c r="B33" s="95" t="n"/>
      <c r="C33" s="95" t="n"/>
      <c r="D33" s="95" t="n"/>
      <c r="E33" s="95" t="n"/>
      <c r="F33" s="95" t="n"/>
      <c r="G33" s="94" t="inlineStr">
        <is>
          <t>No current version-bound assessment</t>
        </is>
      </c>
      <c r="H33" s="94" t="n">
        <v>1</v>
      </c>
      <c r="I33" s="95" t="n">
        <v>0.95</v>
      </c>
      <c r="J33" s="94" t="n"/>
      <c r="K33" s="94" t="n"/>
      <c r="L33" s="94" t="inlineStr"/>
    </row>
    <row r="34">
      <c r="A34" s="94" t="inlineStr">
        <is>
          <t>PA033</t>
        </is>
      </c>
      <c r="B34" s="95" t="n"/>
      <c r="C34" s="95" t="n"/>
      <c r="D34" s="95" t="n"/>
      <c r="E34" s="95" t="n"/>
      <c r="F34" s="95" t="n"/>
      <c r="G34" s="94" t="inlineStr">
        <is>
          <t>No current version-bound assessment</t>
        </is>
      </c>
      <c r="H34" s="94" t="n">
        <v>1</v>
      </c>
      <c r="I34" s="95" t="n">
        <v>0.95</v>
      </c>
      <c r="J34" s="94" t="n"/>
      <c r="K34" s="94" t="n"/>
      <c r="L34" s="94" t="inlineStr"/>
    </row>
    <row r="35">
      <c r="A35" s="94" t="inlineStr">
        <is>
          <t>PA034</t>
        </is>
      </c>
      <c r="B35" s="95" t="n"/>
      <c r="C35" s="95" t="n"/>
      <c r="D35" s="95" t="n"/>
      <c r="E35" s="95" t="n"/>
      <c r="F35" s="95" t="n"/>
      <c r="G35" s="94" t="inlineStr">
        <is>
          <t>No current version-bound assessment</t>
        </is>
      </c>
      <c r="H35" s="94" t="n">
        <v>1</v>
      </c>
      <c r="I35" s="95" t="n">
        <v>0.95</v>
      </c>
      <c r="J35" s="94" t="n"/>
      <c r="K35" s="94" t="n"/>
      <c r="L35" s="94" t="inlineStr"/>
    </row>
    <row r="36">
      <c r="A36" s="94" t="inlineStr">
        <is>
          <t>PA035</t>
        </is>
      </c>
      <c r="B36" s="95" t="n"/>
      <c r="C36" s="95" t="n"/>
      <c r="D36" s="95" t="n"/>
      <c r="E36" s="95" t="n"/>
      <c r="F36" s="95" t="n"/>
      <c r="G36" s="94" t="inlineStr">
        <is>
          <t>No current version-bound assessment</t>
        </is>
      </c>
      <c r="H36" s="94" t="n">
        <v>1</v>
      </c>
      <c r="I36" s="95" t="n">
        <v>0.95</v>
      </c>
      <c r="J36" s="94" t="n"/>
      <c r="K36" s="94" t="n"/>
      <c r="L36" s="94" t="inlineStr"/>
    </row>
    <row r="37">
      <c r="A37" s="94" t="inlineStr">
        <is>
          <t>PA036</t>
        </is>
      </c>
      <c r="B37" s="95" t="n"/>
      <c r="C37" s="95" t="n"/>
      <c r="D37" s="95" t="n"/>
      <c r="E37" s="95" t="n"/>
      <c r="F37" s="95" t="n"/>
      <c r="G37" s="94" t="inlineStr">
        <is>
          <t>No current version-bound assessment</t>
        </is>
      </c>
      <c r="H37" s="94" t="n">
        <v>1</v>
      </c>
      <c r="I37" s="95" t="n">
        <v>0.95</v>
      </c>
      <c r="J37" s="94" t="n"/>
      <c r="K37" s="94" t="n"/>
      <c r="L37" s="94" t="inlineStr"/>
    </row>
    <row r="38">
      <c r="A38" s="94" t="inlineStr">
        <is>
          <t>PA037</t>
        </is>
      </c>
      <c r="B38" s="95" t="n"/>
      <c r="C38" s="95" t="n"/>
      <c r="D38" s="95" t="n"/>
      <c r="E38" s="95" t="n"/>
      <c r="F38" s="95" t="n"/>
      <c r="G38" s="94" t="inlineStr">
        <is>
          <t>No current version-bound assessment</t>
        </is>
      </c>
      <c r="H38" s="94" t="n">
        <v>1</v>
      </c>
      <c r="I38" s="95" t="n">
        <v>0.95</v>
      </c>
      <c r="J38" s="94" t="n"/>
      <c r="K38" s="94" t="n"/>
      <c r="L38" s="94" t="inlineStr"/>
    </row>
    <row r="39">
      <c r="A39" s="94" t="inlineStr">
        <is>
          <t>PA038</t>
        </is>
      </c>
      <c r="B39" s="95" t="n"/>
      <c r="C39" s="95" t="n"/>
      <c r="D39" s="95" t="n"/>
      <c r="E39" s="95" t="n"/>
      <c r="F39" s="95" t="n"/>
      <c r="G39" s="94" t="inlineStr">
        <is>
          <t>No current version-bound assessment</t>
        </is>
      </c>
      <c r="H39" s="94" t="n">
        <v>1</v>
      </c>
      <c r="I39" s="95" t="n">
        <v>0.95</v>
      </c>
      <c r="J39" s="94" t="n"/>
      <c r="K39" s="94" t="n"/>
      <c r="L39" s="94" t="inlineStr"/>
    </row>
    <row r="40">
      <c r="A40" s="94" t="inlineStr">
        <is>
          <t>PA039</t>
        </is>
      </c>
      <c r="B40" s="95" t="n"/>
      <c r="C40" s="95" t="n"/>
      <c r="D40" s="95" t="n"/>
      <c r="E40" s="95" t="n"/>
      <c r="F40" s="95" t="n"/>
      <c r="G40" s="94" t="inlineStr">
        <is>
          <t>No current version-bound assessment</t>
        </is>
      </c>
      <c r="H40" s="94" t="n">
        <v>1</v>
      </c>
      <c r="I40" s="95" t="n">
        <v>0.95</v>
      </c>
      <c r="J40" s="94" t="n"/>
      <c r="K40" s="94" t="n"/>
      <c r="L40" s="94" t="inlineStr"/>
    </row>
    <row r="41">
      <c r="A41" s="94" t="inlineStr">
        <is>
          <t>PA040</t>
        </is>
      </c>
      <c r="B41" s="95" t="n"/>
      <c r="C41" s="95" t="n"/>
      <c r="D41" s="95" t="n"/>
      <c r="E41" s="95" t="n"/>
      <c r="F41" s="95" t="n"/>
      <c r="G41" s="94" t="inlineStr">
        <is>
          <t>No current version-bound assessment</t>
        </is>
      </c>
      <c r="H41" s="94" t="n">
        <v>1</v>
      </c>
      <c r="I41" s="95" t="n">
        <v>0.95</v>
      </c>
      <c r="J41" s="94" t="n"/>
      <c r="K41" s="94" t="n"/>
      <c r="L41" s="94" t="inlineStr"/>
    </row>
    <row r="42">
      <c r="A42" s="94" t="inlineStr">
        <is>
          <t>PA041</t>
        </is>
      </c>
      <c r="B42" s="95" t="n"/>
      <c r="C42" s="95" t="n"/>
      <c r="D42" s="95" t="n"/>
      <c r="E42" s="95" t="n"/>
      <c r="F42" s="95" t="n"/>
      <c r="G42" s="94" t="inlineStr">
        <is>
          <t>No current version-bound assessment</t>
        </is>
      </c>
      <c r="H42" s="94" t="n">
        <v>1</v>
      </c>
      <c r="I42" s="95" t="n">
        <v>0.95</v>
      </c>
      <c r="J42" s="94" t="n"/>
      <c r="K42" s="94" t="n"/>
      <c r="L42" s="94" t="inlineStr"/>
    </row>
    <row r="43">
      <c r="A43" s="94" t="inlineStr">
        <is>
          <t>PA042</t>
        </is>
      </c>
      <c r="B43" s="95" t="n"/>
      <c r="C43" s="95" t="n"/>
      <c r="D43" s="95" t="n"/>
      <c r="E43" s="95" t="n"/>
      <c r="F43" s="95" t="n"/>
      <c r="G43" s="94" t="inlineStr">
        <is>
          <t>No current version-bound assessment</t>
        </is>
      </c>
      <c r="H43" s="94" t="n">
        <v>1</v>
      </c>
      <c r="I43" s="95" t="n">
        <v>0.95</v>
      </c>
      <c r="J43" s="94" t="n"/>
      <c r="K43" s="94" t="n"/>
      <c r="L43" s="94" t="inlineStr"/>
    </row>
    <row r="44">
      <c r="A44" s="94" t="inlineStr">
        <is>
          <t>PA043</t>
        </is>
      </c>
      <c r="B44" s="95" t="n"/>
      <c r="C44" s="95" t="n"/>
      <c r="D44" s="95" t="n"/>
      <c r="E44" s="95" t="n"/>
      <c r="F44" s="95" t="n"/>
      <c r="G44" s="94" t="inlineStr">
        <is>
          <t>No current version-bound assessment</t>
        </is>
      </c>
      <c r="H44" s="94" t="n">
        <v>1</v>
      </c>
      <c r="I44" s="95" t="n">
        <v>0.95</v>
      </c>
      <c r="J44" s="94" t="n"/>
      <c r="K44" s="94" t="n"/>
      <c r="L44" s="94" t="inlineStr"/>
    </row>
    <row r="45">
      <c r="A45" s="94" t="inlineStr">
        <is>
          <t>PA044</t>
        </is>
      </c>
      <c r="B45" s="95" t="n"/>
      <c r="C45" s="95" t="n"/>
      <c r="D45" s="95" t="n"/>
      <c r="E45" s="95" t="n"/>
      <c r="F45" s="95" t="n"/>
      <c r="G45" s="94" t="inlineStr">
        <is>
          <t>No current version-bound assessment</t>
        </is>
      </c>
      <c r="H45" s="94" t="n">
        <v>1</v>
      </c>
      <c r="I45" s="95" t="n">
        <v>0.95</v>
      </c>
      <c r="J45" s="94" t="n"/>
      <c r="K45" s="94" t="n"/>
      <c r="L45" s="94" t="inlineStr"/>
    </row>
    <row r="46">
      <c r="A46" s="94" t="inlineStr">
        <is>
          <t>PA045</t>
        </is>
      </c>
      <c r="B46" s="95" t="n"/>
      <c r="C46" s="95" t="n"/>
      <c r="D46" s="95" t="n"/>
      <c r="E46" s="95" t="n"/>
      <c r="F46" s="95" t="n"/>
      <c r="G46" s="94" t="inlineStr">
        <is>
          <t>No current version-bound assessment</t>
        </is>
      </c>
      <c r="H46" s="94" t="n">
        <v>1</v>
      </c>
      <c r="I46" s="95" t="n">
        <v>0.95</v>
      </c>
      <c r="J46" s="94" t="n"/>
      <c r="K46" s="94" t="n"/>
      <c r="L46" s="94" t="inlineStr"/>
    </row>
    <row r="47">
      <c r="A47" s="94" t="inlineStr">
        <is>
          <t>PA046</t>
        </is>
      </c>
      <c r="B47" s="95" t="n"/>
      <c r="C47" s="95" t="n"/>
      <c r="D47" s="95" t="n"/>
      <c r="E47" s="95" t="n"/>
      <c r="F47" s="95" t="n"/>
      <c r="G47" s="94" t="inlineStr">
        <is>
          <t>No current version-bound assessment</t>
        </is>
      </c>
      <c r="H47" s="94" t="n">
        <v>1</v>
      </c>
      <c r="I47" s="95" t="n">
        <v>0.95</v>
      </c>
      <c r="J47" s="94" t="n"/>
      <c r="K47" s="94" t="n"/>
      <c r="L47" s="94" t="inlineStr"/>
    </row>
    <row r="48">
      <c r="A48" s="94" t="inlineStr">
        <is>
          <t>PA047</t>
        </is>
      </c>
      <c r="B48" s="95" t="n"/>
      <c r="C48" s="95" t="n"/>
      <c r="D48" s="95" t="n"/>
      <c r="E48" s="95" t="n"/>
      <c r="F48" s="95" t="n"/>
      <c r="G48" s="94" t="inlineStr">
        <is>
          <t>No current version-bound assessment</t>
        </is>
      </c>
      <c r="H48" s="94" t="n">
        <v>1</v>
      </c>
      <c r="I48" s="95" t="n">
        <v>0.95</v>
      </c>
      <c r="J48" s="94" t="n"/>
      <c r="K48" s="94" t="n"/>
      <c r="L48" s="94" t="inlineStr"/>
    </row>
    <row r="49">
      <c r="A49" s="94" t="inlineStr">
        <is>
          <t>PA048</t>
        </is>
      </c>
      <c r="B49" s="95" t="n"/>
      <c r="C49" s="95" t="n"/>
      <c r="D49" s="95" t="n"/>
      <c r="E49" s="95" t="n"/>
      <c r="F49" s="95" t="n"/>
      <c r="G49" s="94" t="inlineStr">
        <is>
          <t>No current version-bound assessment</t>
        </is>
      </c>
      <c r="H49" s="94" t="n">
        <v>1</v>
      </c>
      <c r="I49" s="95" t="n">
        <v>0.95</v>
      </c>
      <c r="J49" s="94" t="n"/>
      <c r="K49" s="94" t="n"/>
      <c r="L49" s="94" t="inlineStr"/>
    </row>
    <row r="50">
      <c r="A50" s="94" t="inlineStr">
        <is>
          <t>PA049</t>
        </is>
      </c>
      <c r="B50" s="95" t="n"/>
      <c r="C50" s="95" t="n"/>
      <c r="D50" s="95" t="n"/>
      <c r="E50" s="95" t="n"/>
      <c r="F50" s="95" t="n"/>
      <c r="G50" s="94" t="inlineStr">
        <is>
          <t>No current version-bound assessment</t>
        </is>
      </c>
      <c r="H50" s="94" t="n">
        <v>1</v>
      </c>
      <c r="I50" s="95" t="n">
        <v>0.95</v>
      </c>
      <c r="J50" s="94" t="n"/>
      <c r="K50" s="94" t="n"/>
      <c r="L50" s="94" t="inlineStr"/>
    </row>
    <row r="51">
      <c r="A51" s="94" t="inlineStr">
        <is>
          <t>PA050</t>
        </is>
      </c>
      <c r="B51" s="95" t="n"/>
      <c r="C51" s="95" t="n"/>
      <c r="D51" s="95" t="n"/>
      <c r="E51" s="95" t="n"/>
      <c r="F51" s="95" t="n"/>
      <c r="G51" s="94" t="inlineStr">
        <is>
          <t>No current version-bound assessment</t>
        </is>
      </c>
      <c r="H51" s="94" t="n">
        <v>1</v>
      </c>
      <c r="I51" s="95" t="n">
        <v>0.95</v>
      </c>
      <c r="J51" s="94" t="n"/>
      <c r="K51" s="94" t="n"/>
      <c r="L51" s="94" t="inlineStr"/>
    </row>
    <row r="52">
      <c r="A52" s="94" t="inlineStr">
        <is>
          <t>PA051</t>
        </is>
      </c>
      <c r="B52" s="95" t="n"/>
      <c r="C52" s="95" t="n"/>
      <c r="D52" s="95" t="n"/>
      <c r="E52" s="95" t="n"/>
      <c r="F52" s="95" t="n"/>
      <c r="G52" s="94" t="inlineStr">
        <is>
          <t>No current version-bound assessment</t>
        </is>
      </c>
      <c r="H52" s="94" t="n">
        <v>1</v>
      </c>
      <c r="I52" s="95" t="n">
        <v>0.95</v>
      </c>
      <c r="J52" s="94" t="n"/>
      <c r="K52" s="94" t="n"/>
      <c r="L52" s="94" t="inlineStr"/>
    </row>
    <row r="53">
      <c r="A53" s="94" t="inlineStr">
        <is>
          <t>PA052</t>
        </is>
      </c>
      <c r="B53" s="95" t="n"/>
      <c r="C53" s="95" t="n"/>
      <c r="D53" s="95" t="n"/>
      <c r="E53" s="95" t="n"/>
      <c r="F53" s="95" t="n"/>
      <c r="G53" s="94" t="inlineStr">
        <is>
          <t>No current version-bound assessment</t>
        </is>
      </c>
      <c r="H53" s="94" t="n">
        <v>1</v>
      </c>
      <c r="I53" s="95" t="n">
        <v>0.95</v>
      </c>
      <c r="J53" s="94" t="n"/>
      <c r="K53" s="94" t="n"/>
      <c r="L53" s="94" t="inlineStr"/>
    </row>
    <row r="54">
      <c r="A54" s="94" t="inlineStr">
        <is>
          <t>PA053</t>
        </is>
      </c>
      <c r="B54" s="95" t="n"/>
      <c r="C54" s="95" t="n"/>
      <c r="D54" s="95" t="n"/>
      <c r="E54" s="95" t="n"/>
      <c r="F54" s="95" t="n"/>
      <c r="G54" s="94" t="inlineStr">
        <is>
          <t>No current version-bound assessment</t>
        </is>
      </c>
      <c r="H54" s="94" t="n">
        <v>1</v>
      </c>
      <c r="I54" s="95" t="n">
        <v>0.95</v>
      </c>
      <c r="J54" s="94" t="n"/>
      <c r="K54" s="94" t="n"/>
      <c r="L54" s="94" t="inlineStr"/>
    </row>
    <row r="55">
      <c r="A55" s="94" t="inlineStr">
        <is>
          <t>PA054</t>
        </is>
      </c>
      <c r="B55" s="95" t="n"/>
      <c r="C55" s="95" t="n"/>
      <c r="D55" s="95" t="n"/>
      <c r="E55" s="95" t="n"/>
      <c r="F55" s="95" t="n"/>
      <c r="G55" s="94" t="inlineStr">
        <is>
          <t>No current version-bound assessment</t>
        </is>
      </c>
      <c r="H55" s="94" t="n">
        <v>1</v>
      </c>
      <c r="I55" s="95" t="n">
        <v>0.95</v>
      </c>
      <c r="J55" s="94" t="n"/>
      <c r="K55" s="94" t="n"/>
      <c r="L55" s="94" t="inlineStr"/>
    </row>
    <row r="56">
      <c r="A56" s="94" t="inlineStr">
        <is>
          <t>PA055</t>
        </is>
      </c>
      <c r="B56" s="95" t="n"/>
      <c r="C56" s="95" t="n"/>
      <c r="D56" s="95" t="n"/>
      <c r="E56" s="95" t="n"/>
      <c r="F56" s="95" t="n"/>
      <c r="G56" s="94" t="inlineStr">
        <is>
          <t>No current version-bound assessment</t>
        </is>
      </c>
      <c r="H56" s="94" t="n">
        <v>1</v>
      </c>
      <c r="I56" s="95" t="n">
        <v>0.95</v>
      </c>
      <c r="J56" s="94" t="n"/>
      <c r="K56" s="94" t="n"/>
      <c r="L56" s="94" t="inlineStr"/>
    </row>
    <row r="57">
      <c r="A57" s="94" t="inlineStr">
        <is>
          <t>PA056</t>
        </is>
      </c>
      <c r="B57" s="95" t="n"/>
      <c r="C57" s="95" t="n"/>
      <c r="D57" s="95" t="n"/>
      <c r="E57" s="95" t="n"/>
      <c r="F57" s="95" t="n"/>
      <c r="G57" s="94" t="inlineStr">
        <is>
          <t>No current version-bound assessment</t>
        </is>
      </c>
      <c r="H57" s="94" t="n">
        <v>1</v>
      </c>
      <c r="I57" s="95" t="n">
        <v>0.95</v>
      </c>
      <c r="J57" s="94" t="n"/>
      <c r="K57" s="94" t="n"/>
      <c r="L57" s="94" t="inlineStr"/>
    </row>
    <row r="58">
      <c r="A58" s="94" t="inlineStr">
        <is>
          <t>PA057</t>
        </is>
      </c>
      <c r="B58" s="95" t="n"/>
      <c r="C58" s="95" t="n"/>
      <c r="D58" s="95" t="n"/>
      <c r="E58" s="95" t="n"/>
      <c r="F58" s="95" t="n"/>
      <c r="G58" s="94" t="inlineStr">
        <is>
          <t>No current version-bound assessment</t>
        </is>
      </c>
      <c r="H58" s="94" t="n">
        <v>1</v>
      </c>
      <c r="I58" s="95" t="n">
        <v>0.95</v>
      </c>
      <c r="J58" s="94" t="n"/>
      <c r="K58" s="94" t="n"/>
      <c r="L58" s="94" t="inlineStr"/>
    </row>
    <row r="59">
      <c r="A59" s="94" t="inlineStr">
        <is>
          <t>PA058</t>
        </is>
      </c>
      <c r="B59" s="95" t="n"/>
      <c r="C59" s="95" t="n"/>
      <c r="D59" s="95" t="n"/>
      <c r="E59" s="95" t="n"/>
      <c r="F59" s="95" t="n"/>
      <c r="G59" s="94" t="inlineStr">
        <is>
          <t>No current version-bound assessment</t>
        </is>
      </c>
      <c r="H59" s="94" t="n">
        <v>1</v>
      </c>
      <c r="I59" s="95" t="n">
        <v>0.95</v>
      </c>
      <c r="J59" s="94" t="n"/>
      <c r="K59" s="94" t="n"/>
      <c r="L59" s="94" t="inlineStr"/>
    </row>
    <row r="60">
      <c r="A60" s="94" t="inlineStr">
        <is>
          <t>PA059</t>
        </is>
      </c>
      <c r="B60" s="95" t="n"/>
      <c r="C60" s="95" t="n"/>
      <c r="D60" s="95" t="n"/>
      <c r="E60" s="95" t="n"/>
      <c r="F60" s="95" t="n"/>
      <c r="G60" s="94" t="inlineStr">
        <is>
          <t>No current version-bound assessment</t>
        </is>
      </c>
      <c r="H60" s="94" t="n">
        <v>1</v>
      </c>
      <c r="I60" s="95" t="n">
        <v>0.95</v>
      </c>
      <c r="J60" s="94" t="n"/>
      <c r="K60" s="94" t="n"/>
      <c r="L60" s="94" t="inlineStr"/>
    </row>
    <row r="61">
      <c r="A61" s="94" t="inlineStr">
        <is>
          <t>PA060</t>
        </is>
      </c>
      <c r="B61" s="95" t="n"/>
      <c r="C61" s="95" t="n"/>
      <c r="D61" s="95" t="n"/>
      <c r="E61" s="95" t="n"/>
      <c r="F61" s="95" t="n"/>
      <c r="G61" s="94" t="inlineStr">
        <is>
          <t>No current version-bound assessment</t>
        </is>
      </c>
      <c r="H61" s="94" t="n">
        <v>1</v>
      </c>
      <c r="I61" s="95" t="n">
        <v>0.95</v>
      </c>
      <c r="J61" s="94" t="n"/>
      <c r="K61" s="94" t="n"/>
      <c r="L61" s="94" t="inlineStr"/>
    </row>
    <row r="62">
      <c r="A62" s="94" t="inlineStr">
        <is>
          <t>SB001</t>
        </is>
      </c>
      <c r="B62" s="95" t="n"/>
      <c r="C62" s="95" t="n"/>
      <c r="D62" s="95" t="n"/>
      <c r="E62" s="95" t="n"/>
      <c r="F62" s="95" t="n"/>
      <c r="G62" s="94" t="inlineStr">
        <is>
          <t>No current version-bound assessment</t>
        </is>
      </c>
      <c r="H62" s="94" t="n">
        <v>1</v>
      </c>
      <c r="I62" s="95" t="n">
        <v>0.95</v>
      </c>
      <c r="J62" s="94" t="n"/>
      <c r="K62" s="94" t="n"/>
      <c r="L62" s="94" t="inlineStr"/>
    </row>
    <row r="63">
      <c r="A63" s="94" t="inlineStr">
        <is>
          <t>SB002</t>
        </is>
      </c>
      <c r="B63" s="95" t="n"/>
      <c r="C63" s="95" t="n"/>
      <c r="D63" s="95" t="n"/>
      <c r="E63" s="95" t="n"/>
      <c r="F63" s="95" t="n"/>
      <c r="G63" s="94" t="inlineStr">
        <is>
          <t>No current version-bound assessment</t>
        </is>
      </c>
      <c r="H63" s="94" t="n">
        <v>1</v>
      </c>
      <c r="I63" s="95" t="n">
        <v>0.95</v>
      </c>
      <c r="J63" s="94" t="n"/>
      <c r="K63" s="94" t="n"/>
      <c r="L63" s="94" t="inlineStr"/>
    </row>
    <row r="64">
      <c r="A64" s="94" t="inlineStr">
        <is>
          <t>SB003</t>
        </is>
      </c>
      <c r="B64" s="95" t="n"/>
      <c r="C64" s="95" t="n"/>
      <c r="D64" s="95" t="n"/>
      <c r="E64" s="95" t="n"/>
      <c r="F64" s="95" t="n"/>
      <c r="G64" s="94" t="inlineStr">
        <is>
          <t>No current version-bound assessment</t>
        </is>
      </c>
      <c r="H64" s="94" t="n">
        <v>1</v>
      </c>
      <c r="I64" s="95" t="n">
        <v>0.95</v>
      </c>
      <c r="J64" s="94" t="n"/>
      <c r="K64" s="94" t="n"/>
      <c r="L64" s="94" t="inlineStr"/>
    </row>
    <row r="65">
      <c r="A65" s="94" t="inlineStr">
        <is>
          <t>SB004</t>
        </is>
      </c>
      <c r="B65" s="95" t="n"/>
      <c r="C65" s="95" t="n"/>
      <c r="D65" s="95" t="n"/>
      <c r="E65" s="95" t="n"/>
      <c r="F65" s="95" t="n"/>
      <c r="G65" s="94" t="inlineStr">
        <is>
          <t>No current version-bound assessment</t>
        </is>
      </c>
      <c r="H65" s="94" t="n">
        <v>1</v>
      </c>
      <c r="I65" s="95" t="n">
        <v>0.95</v>
      </c>
      <c r="J65" s="94" t="n"/>
      <c r="K65" s="94" t="n"/>
      <c r="L65" s="94" t="inlineStr"/>
    </row>
    <row r="66">
      <c r="A66" s="94" t="inlineStr">
        <is>
          <t>SB005</t>
        </is>
      </c>
      <c r="B66" s="95" t="n"/>
      <c r="C66" s="95" t="n"/>
      <c r="D66" s="95" t="n"/>
      <c r="E66" s="95" t="n"/>
      <c r="F66" s="95" t="n"/>
      <c r="G66" s="94" t="inlineStr">
        <is>
          <t>No current version-bound assessment</t>
        </is>
      </c>
      <c r="H66" s="94" t="n">
        <v>1</v>
      </c>
      <c r="I66" s="95" t="n">
        <v>0.95</v>
      </c>
      <c r="J66" s="94" t="n"/>
      <c r="K66" s="94" t="n"/>
      <c r="L66" s="94" t="inlineStr"/>
    </row>
    <row r="67">
      <c r="A67" s="94" t="inlineStr">
        <is>
          <t>SB006</t>
        </is>
      </c>
      <c r="B67" s="95" t="n"/>
      <c r="C67" s="95" t="n"/>
      <c r="D67" s="95" t="n"/>
      <c r="E67" s="95" t="n"/>
      <c r="F67" s="95" t="n"/>
      <c r="G67" s="94" t="inlineStr">
        <is>
          <t>No current version-bound assessment</t>
        </is>
      </c>
      <c r="H67" s="94" t="n">
        <v>1</v>
      </c>
      <c r="I67" s="95" t="n">
        <v>0.95</v>
      </c>
      <c r="J67" s="94" t="n"/>
      <c r="K67" s="94" t="n"/>
      <c r="L67" s="94" t="inlineStr"/>
    </row>
    <row r="68">
      <c r="A68" s="94" t="inlineStr">
        <is>
          <t>SB007</t>
        </is>
      </c>
      <c r="B68" s="95" t="n"/>
      <c r="C68" s="95" t="n"/>
      <c r="D68" s="95" t="n"/>
      <c r="E68" s="95" t="n"/>
      <c r="F68" s="95" t="n"/>
      <c r="G68" s="94" t="inlineStr">
        <is>
          <t>No current version-bound assessment</t>
        </is>
      </c>
      <c r="H68" s="94" t="n">
        <v>1</v>
      </c>
      <c r="I68" s="95" t="n">
        <v>0.95</v>
      </c>
      <c r="J68" s="94" t="n"/>
      <c r="K68" s="94" t="n"/>
      <c r="L68" s="94" t="inlineStr"/>
    </row>
    <row r="69">
      <c r="A69" s="94" t="inlineStr">
        <is>
          <t>CS001</t>
        </is>
      </c>
      <c r="B69" s="95" t="n"/>
      <c r="C69" s="95" t="n"/>
      <c r="D69" s="95" t="n"/>
      <c r="E69" s="95" t="n"/>
      <c r="F69" s="95" t="n"/>
      <c r="G69" s="94" t="inlineStr">
        <is>
          <t>No current version-bound assessment</t>
        </is>
      </c>
      <c r="H69" s="94" t="n">
        <v>1</v>
      </c>
      <c r="I69" s="95" t="n">
        <v>0.95</v>
      </c>
      <c r="J69" s="94" t="n"/>
      <c r="K69" s="94" t="n"/>
      <c r="L69" s="94" t="inlineStr"/>
    </row>
    <row r="70">
      <c r="A70" s="94" t="inlineStr">
        <is>
          <t>CS002</t>
        </is>
      </c>
      <c r="B70" s="95" t="n"/>
      <c r="C70" s="95" t="n"/>
      <c r="D70" s="95" t="n"/>
      <c r="E70" s="95" t="n"/>
      <c r="F70" s="95" t="n"/>
      <c r="G70" s="94" t="inlineStr">
        <is>
          <t>No current version-bound assessment</t>
        </is>
      </c>
      <c r="H70" s="94" t="n">
        <v>1</v>
      </c>
      <c r="I70" s="95" t="n">
        <v>0.95</v>
      </c>
      <c r="J70" s="94" t="n"/>
      <c r="K70" s="94" t="n"/>
      <c r="L70" s="94" t="inlineStr"/>
    </row>
    <row r="71">
      <c r="A71" s="94" t="inlineStr">
        <is>
          <t>CS003</t>
        </is>
      </c>
      <c r="B71" s="95" t="n"/>
      <c r="C71" s="95" t="n"/>
      <c r="D71" s="95" t="n"/>
      <c r="E71" s="95" t="n"/>
      <c r="F71" s="95" t="n"/>
      <c r="G71" s="94" t="inlineStr">
        <is>
          <t>No current version-bound assessment</t>
        </is>
      </c>
      <c r="H71" s="94" t="n">
        <v>1</v>
      </c>
      <c r="I71" s="95" t="n">
        <v>0.95</v>
      </c>
      <c r="J71" s="94" t="n"/>
      <c r="K71" s="94" t="n"/>
      <c r="L71" s="94" t="inlineStr"/>
    </row>
    <row r="72">
      <c r="A72" s="94" t="inlineStr">
        <is>
          <t>CS004</t>
        </is>
      </c>
      <c r="B72" s="95" t="n"/>
      <c r="C72" s="95" t="n"/>
      <c r="D72" s="95" t="n"/>
      <c r="E72" s="95" t="n"/>
      <c r="F72" s="95" t="n"/>
      <c r="G72" s="94" t="inlineStr">
        <is>
          <t>No current version-bound assessment</t>
        </is>
      </c>
      <c r="H72" s="94" t="n">
        <v>1</v>
      </c>
      <c r="I72" s="95" t="n">
        <v>0.95</v>
      </c>
      <c r="J72" s="94" t="n"/>
      <c r="K72" s="94" t="n"/>
      <c r="L72" s="94" t="inlineStr"/>
    </row>
    <row r="73">
      <c r="A73" s="94" t="inlineStr">
        <is>
          <t>CS005</t>
        </is>
      </c>
      <c r="B73" s="95" t="n"/>
      <c r="C73" s="95" t="n"/>
      <c r="D73" s="95" t="n"/>
      <c r="E73" s="95" t="n"/>
      <c r="F73" s="95" t="n"/>
      <c r="G73" s="94" t="inlineStr">
        <is>
          <t>No current version-bound assessment</t>
        </is>
      </c>
      <c r="H73" s="94" t="n">
        <v>1</v>
      </c>
      <c r="I73" s="95" t="n">
        <v>0.95</v>
      </c>
      <c r="J73" s="94" t="n"/>
      <c r="K73" s="94" t="n"/>
      <c r="L73" s="94" t="inlineStr"/>
    </row>
    <row r="74">
      <c r="A74" s="94" t="inlineStr">
        <is>
          <t>CS006</t>
        </is>
      </c>
      <c r="B74" s="95" t="n"/>
      <c r="C74" s="95" t="n"/>
      <c r="D74" s="95" t="n"/>
      <c r="E74" s="95" t="n"/>
      <c r="F74" s="95" t="n"/>
      <c r="G74" s="94" t="inlineStr">
        <is>
          <t>No current version-bound assessment</t>
        </is>
      </c>
      <c r="H74" s="94" t="n">
        <v>1</v>
      </c>
      <c r="I74" s="95" t="n">
        <v>0.95</v>
      </c>
      <c r="J74" s="94" t="n"/>
      <c r="K74" s="94" t="n"/>
      <c r="L74" s="94" t="inlineStr"/>
    </row>
    <row r="75">
      <c r="A75" s="94" t="inlineStr">
        <is>
          <t>CS007</t>
        </is>
      </c>
      <c r="B75" s="95" t="n"/>
      <c r="C75" s="95" t="n"/>
      <c r="D75" s="95" t="n"/>
      <c r="E75" s="95" t="n"/>
      <c r="F75" s="95" t="n"/>
      <c r="G75" s="94" t="inlineStr">
        <is>
          <t>No current version-bound assessment</t>
        </is>
      </c>
      <c r="H75" s="94" t="n">
        <v>1</v>
      </c>
      <c r="I75" s="95" t="n">
        <v>0.95</v>
      </c>
      <c r="J75" s="94" t="n"/>
      <c r="K75" s="94" t="n"/>
      <c r="L75" s="94" t="inlineStr"/>
    </row>
    <row r="76">
      <c r="A76" s="94" t="inlineStr">
        <is>
          <t>CS008</t>
        </is>
      </c>
      <c r="B76" s="95" t="n"/>
      <c r="C76" s="95" t="n"/>
      <c r="D76" s="95" t="n"/>
      <c r="E76" s="95" t="n"/>
      <c r="F76" s="95" t="n"/>
      <c r="G76" s="94" t="inlineStr">
        <is>
          <t>No current version-bound assessment</t>
        </is>
      </c>
      <c r="H76" s="94" t="n">
        <v>1</v>
      </c>
      <c r="I76" s="95" t="n">
        <v>0.95</v>
      </c>
      <c r="J76" s="94" t="n"/>
      <c r="K76" s="94" t="n"/>
      <c r="L76" s="94" t="inlineStr"/>
    </row>
    <row r="77">
      <c r="A77" s="94" t="inlineStr">
        <is>
          <t>CS009</t>
        </is>
      </c>
      <c r="B77" s="95" t="n"/>
      <c r="C77" s="95" t="n"/>
      <c r="D77" s="95" t="n"/>
      <c r="E77" s="95" t="n"/>
      <c r="F77" s="95" t="n"/>
      <c r="G77" s="94" t="inlineStr">
        <is>
          <t>No current version-bound assessment</t>
        </is>
      </c>
      <c r="H77" s="94" t="n">
        <v>1</v>
      </c>
      <c r="I77" s="95" t="n">
        <v>0.95</v>
      </c>
      <c r="J77" s="94" t="n"/>
      <c r="K77" s="94" t="n"/>
      <c r="L77" s="94" t="inlineStr"/>
    </row>
    <row r="78">
      <c r="A78" s="94" t="inlineStr">
        <is>
          <t>CS010</t>
        </is>
      </c>
      <c r="B78" s="95" t="n"/>
      <c r="C78" s="95" t="n"/>
      <c r="D78" s="95" t="n"/>
      <c r="E78" s="95" t="n"/>
      <c r="F78" s="95" t="n"/>
      <c r="G78" s="94" t="inlineStr">
        <is>
          <t>No current version-bound assessment</t>
        </is>
      </c>
      <c r="H78" s="94" t="n">
        <v>1</v>
      </c>
      <c r="I78" s="95" t="n">
        <v>0.95</v>
      </c>
      <c r="J78" s="94" t="n"/>
      <c r="K78" s="94" t="n"/>
      <c r="L78" s="94" t="inlineStr"/>
    </row>
    <row r="79">
      <c r="A79" s="94" t="inlineStr">
        <is>
          <t>CS011</t>
        </is>
      </c>
      <c r="B79" s="95" t="n"/>
      <c r="C79" s="95" t="n"/>
      <c r="D79" s="95" t="n"/>
      <c r="E79" s="95" t="n"/>
      <c r="F79" s="95" t="n"/>
      <c r="G79" s="94" t="inlineStr">
        <is>
          <t>No current version-bound assessment</t>
        </is>
      </c>
      <c r="H79" s="94" t="n">
        <v>1</v>
      </c>
      <c r="I79" s="95" t="n">
        <v>0.95</v>
      </c>
      <c r="J79" s="94" t="n"/>
      <c r="K79" s="94" t="n"/>
      <c r="L79" s="94" t="inlineStr"/>
    </row>
    <row r="80">
      <c r="A80" s="94" t="inlineStr">
        <is>
          <t>CS012</t>
        </is>
      </c>
      <c r="B80" s="95" t="n"/>
      <c r="C80" s="95" t="n"/>
      <c r="D80" s="95" t="n"/>
      <c r="E80" s="95" t="n"/>
      <c r="F80" s="95" t="n"/>
      <c r="G80" s="94" t="inlineStr">
        <is>
          <t>No current version-bound assessment</t>
        </is>
      </c>
      <c r="H80" s="94" t="n">
        <v>1</v>
      </c>
      <c r="I80" s="95" t="n">
        <v>0.95</v>
      </c>
      <c r="J80" s="94" t="n"/>
      <c r="K80" s="94" t="n"/>
      <c r="L80" s="94" t="inlineStr"/>
    </row>
    <row r="81">
      <c r="A81" s="94" t="inlineStr">
        <is>
          <t>CS013</t>
        </is>
      </c>
      <c r="B81" s="95" t="n"/>
      <c r="C81" s="95" t="n"/>
      <c r="D81" s="95" t="n"/>
      <c r="E81" s="95" t="n"/>
      <c r="F81" s="95" t="n"/>
      <c r="G81" s="94" t="inlineStr">
        <is>
          <t>No current version-bound assessment</t>
        </is>
      </c>
      <c r="H81" s="94" t="n">
        <v>1</v>
      </c>
      <c r="I81" s="95" t="n">
        <v>0.95</v>
      </c>
      <c r="J81" s="94" t="n"/>
      <c r="K81" s="94" t="n"/>
      <c r="L81" s="94" t="inlineStr"/>
    </row>
    <row r="82">
      <c r="A82" s="94" t="inlineStr">
        <is>
          <t>CS014</t>
        </is>
      </c>
      <c r="B82" s="95" t="n"/>
      <c r="C82" s="95" t="n"/>
      <c r="D82" s="95" t="n"/>
      <c r="E82" s="95" t="n"/>
      <c r="F82" s="95" t="n"/>
      <c r="G82" s="94" t="inlineStr">
        <is>
          <t>No current version-bound assessment</t>
        </is>
      </c>
      <c r="H82" s="94" t="n">
        <v>1</v>
      </c>
      <c r="I82" s="95" t="n">
        <v>0.95</v>
      </c>
      <c r="J82" s="94" t="n"/>
      <c r="K82" s="94" t="n"/>
      <c r="L82" s="94" t="inlineStr"/>
    </row>
    <row r="83">
      <c r="A83" s="94" t="inlineStr">
        <is>
          <t>CS015</t>
        </is>
      </c>
      <c r="B83" s="95" t="n"/>
      <c r="C83" s="95" t="n"/>
      <c r="D83" s="95" t="n"/>
      <c r="E83" s="95" t="n"/>
      <c r="F83" s="95" t="n"/>
      <c r="G83" s="94" t="inlineStr">
        <is>
          <t>No current version-bound assessment</t>
        </is>
      </c>
      <c r="H83" s="94" t="n">
        <v>1</v>
      </c>
      <c r="I83" s="95" t="n">
        <v>0.95</v>
      </c>
      <c r="J83" s="94" t="n"/>
      <c r="K83" s="94" t="n"/>
      <c r="L83" s="94" t="inlineStr"/>
    </row>
    <row r="84">
      <c r="A84" s="94" t="inlineStr">
        <is>
          <t>CS016</t>
        </is>
      </c>
      <c r="B84" s="95" t="n"/>
      <c r="C84" s="95" t="n"/>
      <c r="D84" s="95" t="n"/>
      <c r="E84" s="95" t="n"/>
      <c r="F84" s="95" t="n"/>
      <c r="G84" s="94" t="inlineStr">
        <is>
          <t>No current version-bound assessment</t>
        </is>
      </c>
      <c r="H84" s="94" t="n">
        <v>1</v>
      </c>
      <c r="I84" s="95" t="n">
        <v>0.95</v>
      </c>
      <c r="J84" s="94" t="n"/>
      <c r="K84" s="94" t="n"/>
      <c r="L84" s="94" t="inlineStr"/>
    </row>
    <row r="85">
      <c r="A85" s="94" t="inlineStr">
        <is>
          <t>CS017</t>
        </is>
      </c>
      <c r="B85" s="95" t="n"/>
      <c r="C85" s="95" t="n"/>
      <c r="D85" s="95" t="n"/>
      <c r="E85" s="95" t="n"/>
      <c r="F85" s="95" t="n"/>
      <c r="G85" s="94" t="inlineStr">
        <is>
          <t>No current version-bound assessment</t>
        </is>
      </c>
      <c r="H85" s="94" t="n">
        <v>1</v>
      </c>
      <c r="I85" s="95" t="n">
        <v>0.95</v>
      </c>
      <c r="J85" s="94" t="n"/>
      <c r="K85" s="94" t="n"/>
      <c r="L85" s="94" t="inlineStr"/>
    </row>
    <row r="86">
      <c r="A86" s="94" t="inlineStr">
        <is>
          <t>CS018</t>
        </is>
      </c>
      <c r="B86" s="95" t="n"/>
      <c r="C86" s="95" t="n"/>
      <c r="D86" s="95" t="n"/>
      <c r="E86" s="95" t="n"/>
      <c r="F86" s="95" t="n"/>
      <c r="G86" s="94" t="inlineStr">
        <is>
          <t>No current version-bound assessment</t>
        </is>
      </c>
      <c r="H86" s="94" t="n">
        <v>1</v>
      </c>
      <c r="I86" s="95" t="n">
        <v>0.95</v>
      </c>
      <c r="J86" s="94" t="n"/>
      <c r="K86" s="94" t="n"/>
      <c r="L86" s="94" t="inlineStr"/>
    </row>
    <row r="87">
      <c r="A87" s="94" t="inlineStr">
        <is>
          <t>CS019</t>
        </is>
      </c>
      <c r="B87" s="95" t="n"/>
      <c r="C87" s="95" t="n"/>
      <c r="D87" s="95" t="n"/>
      <c r="E87" s="95" t="n"/>
      <c r="F87" s="95" t="n"/>
      <c r="G87" s="94" t="inlineStr">
        <is>
          <t>No current version-bound assessment</t>
        </is>
      </c>
      <c r="H87" s="94" t="n">
        <v>1</v>
      </c>
      <c r="I87" s="95" t="n">
        <v>0.95</v>
      </c>
      <c r="J87" s="94" t="n"/>
      <c r="K87" s="94" t="n"/>
      <c r="L87" s="94" t="inlineStr"/>
    </row>
    <row r="88">
      <c r="A88" s="94" t="inlineStr">
        <is>
          <t>CS020</t>
        </is>
      </c>
      <c r="B88" s="95" t="n"/>
      <c r="C88" s="95" t="n"/>
      <c r="D88" s="95" t="n"/>
      <c r="E88" s="95" t="n"/>
      <c r="F88" s="95" t="n"/>
      <c r="G88" s="94" t="inlineStr">
        <is>
          <t>No current version-bound assessment</t>
        </is>
      </c>
      <c r="H88" s="94" t="n">
        <v>1</v>
      </c>
      <c r="I88" s="95" t="n">
        <v>0.95</v>
      </c>
      <c r="J88" s="94" t="n"/>
      <c r="K88" s="94" t="n"/>
      <c r="L88" s="94" t="inlineStr"/>
    </row>
  </sheetData>
  <autoFilter ref="A1:L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2026-09-09T14:53:16Z</dcterms:modified>
  <cp:lastModifiedBy>(Student) Tang, Weijie</cp:lastModifiedBy>
  <cp:keywords>system1-browser-workbench;system1-browser-guide-v1</cp:keywords>
</cp:coreProperties>
</file>