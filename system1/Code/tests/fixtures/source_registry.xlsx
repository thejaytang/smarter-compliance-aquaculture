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/>
  <bookViews>
    <workbookView visibility="visible" minimized="0" showHorizontalScroll="1" showVerticalScroll="1" showSheetTabs="1" xWindow="0" yWindow="-21000" windowWidth="38400" windowHeight="21000" tabRatio="600" firstSheet="0" activeTab="0" autoFilterDateGrouping="1"/>
  </bookViews>
  <sheets>
    <sheet name="Instructions" sheetId="1" state="visible" r:id="rId1"/>
    <sheet name="Categories" sheetId="2" state="visible" r:id="rId2"/>
    <sheet name="Source Register" sheetId="3" state="visible" r:id="rId3"/>
    <sheet name="Dashboard" sheetId="4" state="veryHidden" r:id="rId4"/>
    <sheet name="Human Operation Desktop" sheetId="5" state="veryHidden" r:id="rId5"/>
    <sheet name="Machine confidence" sheetId="6" state="visible" r:id="rId6"/>
  </sheets>
  <definedNames>
    <definedName name="_xlnm.Print_Area" localSheetId="0">'Instructions'!$A$1:$C$46</definedName>
    <definedName name="_xlnm._FilterDatabase" localSheetId="5" hidden="1">'Machine confidence'!$A$1:$L$89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\-mm\-dd\ hh:mm"/>
    <numFmt numFmtId="165" formatCode="yyyy\-mm\-dd"/>
    <numFmt numFmtId="166" formatCode="yyyy\-mm\-dd\ h:mm:ss"/>
    <numFmt numFmtId="167" formatCode="yyyy-mm-dd h:mm:ss"/>
    <numFmt numFmtId="168" formatCode="0.0%"/>
  </numFmts>
  <fonts count="19">
    <font>
      <name val="Carlito"/>
      <sz val="11"/>
    </font>
    <font>
      <name val="Carlito"/>
      <b val="1"/>
      <color rgb="FFFFFFFF"/>
      <sz val="11"/>
    </font>
    <font>
      <name val="Aptos"/>
      <sz val="11"/>
    </font>
    <font>
      <name val="Carlito"/>
      <color rgb="FF203040"/>
      <sz val="10"/>
    </font>
    <font>
      <name val="Carlito"/>
      <b val="1"/>
      <color rgb="FF17365D"/>
      <sz val="10"/>
    </font>
    <font>
      <name val="Arial"/>
      <family val="2"/>
      <color rgb="FF17365D"/>
      <sz val="10"/>
    </font>
    <font>
      <name val="Carlito"/>
      <sz val="11"/>
    </font>
    <font>
      <name val="FangSong"/>
      <charset val="134"/>
      <family val="3"/>
      <sz val="9"/>
    </font>
    <font>
      <name val="Calibri"/>
      <family val="2"/>
      <b val="1"/>
      <color rgb="FFFFFFFF"/>
      <sz val="11"/>
    </font>
    <font>
      <name val="Calibri"/>
      <family val="2"/>
      <color rgb="FF102A43"/>
      <sz val="11"/>
    </font>
    <font>
      <name val="Calibri"/>
      <family val="2"/>
      <b val="1"/>
      <color rgb="FFFFFFFF"/>
      <sz val="16"/>
    </font>
    <font>
      <name val="Calibri"/>
      <family val="2"/>
      <color rgb="FF20354F"/>
      <sz val="10"/>
    </font>
    <font>
      <name val="Calibri"/>
      <family val="2"/>
      <b val="1"/>
      <color rgb="FF20354F"/>
      <sz val="10"/>
    </font>
    <font>
      <name val="Calibri"/>
      <b val="1"/>
      <color rgb="0017374D"/>
      <sz val="20"/>
    </font>
    <font>
      <name val="Calibri"/>
      <color rgb="00546779"/>
      <sz val="11"/>
    </font>
    <font>
      <name val="Calibri"/>
      <b val="1"/>
      <color rgb="00FFFFFF"/>
      <sz val="11"/>
    </font>
    <font>
      <name val="Calibri"/>
      <b val="1"/>
      <color rgb="00253746"/>
      <sz val="11"/>
    </font>
    <font>
      <name val="Calibri"/>
      <color rgb="00253746"/>
      <sz val="11"/>
    </font>
    <font>
      <name val="Aptos"/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rgb="FFE8F4F8"/>
      </patternFill>
    </fill>
    <fill>
      <patternFill patternType="solid">
        <fgColor rgb="FFFFF9E8"/>
      </patternFill>
    </fill>
    <fill>
      <patternFill patternType="solid">
        <fgColor rgb="FF0F6B78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0077B6"/>
      </patternFill>
    </fill>
    <fill>
      <patternFill patternType="solid">
        <fgColor rgb="FFADE8F4"/>
      </patternFill>
    </fill>
    <fill>
      <patternFill patternType="solid">
        <fgColor rgb="FF71A5DE"/>
      </patternFill>
    </fill>
    <fill>
      <patternFill patternType="solid">
        <fgColor rgb="FF83B0E1"/>
      </patternFill>
    </fill>
    <fill>
      <patternFill patternType="solid">
        <fgColor rgb="FFE1ECF7"/>
      </patternFill>
    </fill>
    <fill>
      <patternFill patternType="solid">
        <fgColor rgb="FFF8F9FB"/>
      </patternFill>
    </fill>
    <fill>
      <patternFill patternType="solid">
        <fgColor rgb="FFAECBEB"/>
      </patternFill>
    </fill>
    <fill>
      <patternFill patternType="solid">
        <fgColor rgb="FFF6E9DF"/>
      </patternFill>
    </fill>
    <fill>
      <patternFill patternType="solid">
        <fgColor rgb="0017374D"/>
      </patternFill>
    </fill>
    <fill>
      <patternFill patternType="solid">
        <fgColor rgb="00EEF3F7"/>
      </patternFill>
    </fill>
    <fill>
      <patternFill patternType="solid">
        <fgColor rgb="00FFFFFF"/>
      </patternFill>
    </fill>
    <fill>
      <patternFill patternType="solid">
        <fgColor rgb="00173B54"/>
      </patternFill>
    </fill>
  </fills>
  <borders count="18">
    <border>
      <left/>
      <right/>
      <top/>
      <bottom/>
      <diagonal/>
    </border>
    <border>
      <left/>
      <right style="thin">
        <color rgb="FFD0D5DD"/>
      </right>
      <top/>
      <bottom/>
      <diagonal/>
    </border>
    <border>
      <left/>
      <right style="thin">
        <color rgb="FFD0D5DD"/>
      </right>
      <top/>
      <bottom style="thin">
        <color rgb="FFD0D5DD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/>
      <diagonal/>
    </border>
    <border>
      <left style="thin">
        <color rgb="FFD1E5EE"/>
      </left>
      <right style="thin">
        <color rgb="FFD1E5EE"/>
      </right>
      <top style="thin">
        <color rgb="FFD1E5EE"/>
      </top>
      <bottom style="thin">
        <color rgb="FFD1E5EE"/>
      </bottom>
      <diagonal/>
    </border>
    <border>
      <left style="thin">
        <color rgb="FFD2DCE7"/>
      </left>
      <right style="thin">
        <color rgb="FFD2DCE7"/>
      </right>
      <top style="thin">
        <color rgb="FFD2DCE7"/>
      </top>
      <bottom style="thin">
        <color rgb="FFD2DCE7"/>
      </bottom>
      <diagonal/>
    </border>
    <border>
      <left/>
      <right/>
      <top style="thin">
        <color rgb="FFD2DCE7"/>
      </top>
      <bottom/>
      <diagonal/>
    </border>
    <border>
      <left/>
      <right style="thin">
        <color rgb="FFD2DCE7"/>
      </right>
      <top style="thin">
        <color rgb="FFD2DCE7"/>
      </top>
      <bottom/>
      <diagonal/>
    </border>
    <border>
      <left/>
      <right/>
      <top style="thin">
        <color rgb="FFD2DCE7"/>
      </top>
      <bottom style="thin">
        <color rgb="FFD2DCE7"/>
      </bottom>
      <diagonal/>
    </border>
    <border>
      <left/>
      <right style="thin">
        <color rgb="FFD2DCE7"/>
      </right>
      <top style="thin">
        <color rgb="FFD2DCE7"/>
      </top>
      <bottom style="thin">
        <color rgb="FFD2DCE7"/>
      </bottom>
      <diagonal/>
    </border>
    <border>
      <left style="thin">
        <color rgb="FFD2DCE7"/>
      </left>
      <right/>
      <top/>
      <bottom style="thin">
        <color rgb="FFD2DCE7"/>
      </bottom>
      <diagonal/>
    </border>
    <border>
      <left/>
      <right style="thin">
        <color rgb="FFD2DCE7"/>
      </right>
      <top/>
      <bottom style="thin">
        <color rgb="FFD2DCE7"/>
      </bottom>
      <diagonal/>
    </border>
    <border>
      <left/>
      <right/>
      <top/>
      <bottom style="thin">
        <color rgb="FFD2DCE7"/>
      </bottom>
      <diagonal/>
    </border>
    <border>
      <left style="thin">
        <color rgb="FFD2DCE7"/>
      </left>
      <right/>
      <top/>
      <bottom/>
      <diagonal/>
    </border>
    <border>
      <left/>
      <right style="thin">
        <color rgb="FFD2DCE7"/>
      </right>
      <top/>
      <bottom/>
      <diagonal/>
    </border>
  </borders>
  <cellStyleXfs count="2">
    <xf numFmtId="0" fontId="6" fillId="0" borderId="6"/>
    <xf numFmtId="0" fontId="6" fillId="0" borderId="6"/>
  </cellStyleXfs>
  <cellXfs count="100">
    <xf numFmtId="0" fontId="0" fillId="0" borderId="0" pivotButton="0" quotePrefix="0" xfId="0"/>
    <xf numFmtId="164" fontId="0" fillId="0" borderId="0" pivotButton="0" quotePrefix="0" xfId="1"/>
    <xf numFmtId="0" fontId="2" fillId="2" borderId="3" pivotButton="0" quotePrefix="0" xfId="1"/>
    <xf numFmtId="0" fontId="2" fillId="3" borderId="3" pivotButton="0" quotePrefix="0" xfId="1"/>
    <xf numFmtId="0" fontId="2" fillId="2" borderId="4" pivotButton="0" quotePrefix="0" xfId="1"/>
    <xf numFmtId="0" fontId="2" fillId="3" borderId="4" pivotButton="0" quotePrefix="0" xfId="1"/>
    <xf numFmtId="164" fontId="2" fillId="2" borderId="3" pivotButton="0" quotePrefix="0" xfId="1"/>
    <xf numFmtId="164" fontId="2" fillId="2" borderId="4" pivotButton="0" quotePrefix="0" xfId="1"/>
    <xf numFmtId="165" fontId="2" fillId="3" borderId="3" pivotButton="0" quotePrefix="0" xfId="1"/>
    <xf numFmtId="165" fontId="2" fillId="3" borderId="4" pivotButton="0" quotePrefix="0" xfId="1"/>
    <xf numFmtId="0" fontId="3" fillId="0" borderId="5" applyAlignment="1" pivotButton="0" quotePrefix="0" xfId="1">
      <alignment vertical="top" wrapText="1"/>
    </xf>
    <xf numFmtId="0" fontId="4" fillId="0" borderId="5" applyAlignment="1" pivotButton="0" quotePrefix="0" xfId="1">
      <alignment vertical="top" wrapText="1"/>
    </xf>
    <xf numFmtId="0" fontId="1" fillId="4" borderId="5" applyAlignment="1" pivotButton="0" quotePrefix="0" xfId="1">
      <alignment vertical="top" wrapText="1"/>
    </xf>
    <xf numFmtId="0" fontId="5" fillId="5" borderId="0" applyAlignment="1" pivotButton="0" quotePrefix="0" xfId="1">
      <alignment vertical="center"/>
    </xf>
    <xf numFmtId="0" fontId="8" fillId="7" borderId="5" applyAlignment="1" pivotButton="0" quotePrefix="0" xfId="1">
      <alignment vertical="top" wrapText="1"/>
    </xf>
    <xf numFmtId="0" fontId="8" fillId="7" borderId="0" pivotButton="0" quotePrefix="0" xfId="0"/>
    <xf numFmtId="0" fontId="9" fillId="8" borderId="0" pivotButton="0" quotePrefix="0" xfId="0"/>
    <xf numFmtId="0" fontId="9" fillId="8" borderId="1" applyAlignment="1" pivotButton="0" quotePrefix="0" xfId="1">
      <alignment vertical="top" wrapText="1"/>
    </xf>
    <xf numFmtId="0" fontId="9" fillId="6" borderId="1" applyAlignment="1" pivotButton="0" quotePrefix="0" xfId="1">
      <alignment vertical="top" wrapText="1"/>
    </xf>
    <xf numFmtId="0" fontId="9" fillId="8" borderId="2" applyAlignment="1" pivotButton="0" quotePrefix="0" xfId="1">
      <alignment vertical="top" wrapText="1"/>
    </xf>
    <xf numFmtId="0" fontId="9" fillId="6" borderId="0" pivotButton="0" quotePrefix="0" xfId="0"/>
    <xf numFmtId="0" fontId="9" fillId="6" borderId="2" applyAlignment="1" pivotButton="0" quotePrefix="0" xfId="1">
      <alignment vertical="top" wrapText="1"/>
    </xf>
    <xf numFmtId="0" fontId="8" fillId="0" borderId="0" applyAlignment="1" pivotButton="0" quotePrefix="0" xfId="0">
      <alignment horizontal="center" vertical="center" wrapText="1"/>
    </xf>
    <xf numFmtId="0" fontId="8" fillId="7" borderId="7" applyAlignment="1" pivotButton="0" quotePrefix="0" xfId="1">
      <alignment vertical="top" wrapText="1"/>
    </xf>
    <xf numFmtId="0" fontId="1" fillId="4" borderId="7" applyAlignment="1" pivotButton="0" quotePrefix="0" xfId="1">
      <alignment vertical="top" wrapText="1"/>
    </xf>
    <xf numFmtId="0" fontId="3" fillId="11" borderId="5" applyAlignment="1" pivotButton="0" quotePrefix="0" xfId="1">
      <alignment vertical="top" wrapText="1"/>
    </xf>
    <xf numFmtId="0" fontId="3" fillId="13" borderId="5" applyAlignment="1" pivotButton="0" quotePrefix="0" xfId="1">
      <alignment vertical="top" wrapText="1"/>
    </xf>
    <xf numFmtId="0" fontId="0" fillId="11" borderId="0" pivotButton="0" quotePrefix="0" xfId="0"/>
    <xf numFmtId="0" fontId="0" fillId="13" borderId="0" pivotButton="0" quotePrefix="0" xfId="0"/>
    <xf numFmtId="0" fontId="12" fillId="9" borderId="8" applyAlignment="1" pivotButton="0" quotePrefix="0" xfId="1">
      <alignment horizontal="left" vertical="center" wrapText="1"/>
    </xf>
    <xf numFmtId="0" fontId="11" fillId="12" borderId="8" applyAlignment="1" pivotButton="0" quotePrefix="0" xfId="1">
      <alignment horizontal="left" vertical="center" wrapText="1"/>
    </xf>
    <xf numFmtId="0" fontId="11" fillId="11" borderId="8" applyAlignment="1" pivotButton="0" quotePrefix="0" xfId="1">
      <alignment horizontal="left" vertical="center" wrapText="1"/>
    </xf>
    <xf numFmtId="0" fontId="8" fillId="10" borderId="8" applyAlignment="1" pivotButton="0" quotePrefix="0" xfId="1">
      <alignment horizontal="center" vertical="center" wrapText="1"/>
    </xf>
    <xf numFmtId="0" fontId="12" fillId="12" borderId="8" applyAlignment="1" pivotButton="0" quotePrefix="0" xfId="1">
      <alignment horizontal="center" vertical="center" wrapText="1"/>
    </xf>
    <xf numFmtId="164" fontId="11" fillId="12" borderId="8" applyAlignment="1" pivotButton="0" quotePrefix="0" xfId="1">
      <alignment horizontal="left" vertical="center" wrapText="1"/>
    </xf>
    <xf numFmtId="165" fontId="11" fillId="12" borderId="8" applyAlignment="1" pivotButton="0" quotePrefix="0" xfId="1">
      <alignment horizontal="left" vertical="center" wrapText="1"/>
    </xf>
    <xf numFmtId="0" fontId="12" fillId="11" borderId="8" applyAlignment="1" pivotButton="0" quotePrefix="0" xfId="1">
      <alignment horizontal="center" vertical="center" wrapText="1"/>
    </xf>
    <xf numFmtId="164" fontId="11" fillId="11" borderId="8" applyAlignment="1" pivotButton="0" quotePrefix="0" xfId="1">
      <alignment horizontal="left" vertical="center" wrapText="1"/>
    </xf>
    <xf numFmtId="165" fontId="11" fillId="11" borderId="8" applyAlignment="1" pivotButton="0" quotePrefix="0" xfId="1">
      <alignment horizontal="left" vertical="center" wrapText="1"/>
    </xf>
    <xf numFmtId="0" fontId="11" fillId="14" borderId="8" applyAlignment="1" pivotButton="0" quotePrefix="0" xfId="1">
      <alignment horizontal="left" vertical="center" wrapText="1"/>
    </xf>
    <xf numFmtId="0" fontId="11" fillId="9" borderId="8" applyAlignment="1" pivotButton="0" quotePrefix="0" xfId="0">
      <alignment horizontal="left" vertical="center" wrapText="1"/>
    </xf>
    <xf numFmtId="0" fontId="11" fillId="10" borderId="8" applyAlignment="1" pivotButton="0" quotePrefix="0" xfId="1">
      <alignment horizontal="left" vertical="center" wrapText="1"/>
    </xf>
    <xf numFmtId="0" fontId="11" fillId="10" borderId="8" applyAlignment="1" pivotButton="0" quotePrefix="0" xfId="0">
      <alignment horizontal="left" vertical="center" wrapText="1"/>
    </xf>
    <xf numFmtId="0" fontId="11" fillId="12" borderId="8" applyAlignment="1" pivotButton="0" quotePrefix="0" xfId="0">
      <alignment horizontal="left" vertical="center" wrapText="1"/>
    </xf>
    <xf numFmtId="0" fontId="11" fillId="11" borderId="8" applyAlignment="1" pivotButton="0" quotePrefix="0" xfId="0">
      <alignment horizontal="left" vertical="center" wrapText="1"/>
    </xf>
    <xf numFmtId="9" fontId="11" fillId="12" borderId="8" applyAlignment="1" pivotButton="0" quotePrefix="0" xfId="1">
      <alignment horizontal="left" vertical="center" wrapText="1"/>
    </xf>
    <xf numFmtId="0" fontId="8" fillId="10" borderId="8" applyAlignment="1" pivotButton="0" quotePrefix="0" xfId="0">
      <alignment horizontal="center" vertical="center" wrapText="1"/>
    </xf>
    <xf numFmtId="9" fontId="8" fillId="10" borderId="8" applyAlignment="1" pivotButton="0" quotePrefix="0" xfId="1">
      <alignment horizontal="center" vertical="center" wrapText="1"/>
    </xf>
    <xf numFmtId="9" fontId="11" fillId="11" borderId="8" applyAlignment="1" pivotButton="0" quotePrefix="0" xfId="1">
      <alignment horizontal="left" vertical="center" wrapText="1"/>
    </xf>
    <xf numFmtId="0" fontId="11" fillId="14" borderId="8" applyAlignment="1" pivotButton="0" quotePrefix="0" xfId="0">
      <alignment horizontal="left" vertical="center" wrapText="1"/>
    </xf>
    <xf numFmtId="166" fontId="11" fillId="12" borderId="8" applyAlignment="1" pivotButton="0" quotePrefix="0" xfId="1">
      <alignment horizontal="left" vertical="center" wrapText="1"/>
    </xf>
    <xf numFmtId="166" fontId="11" fillId="11" borderId="8" applyAlignment="1" pivotButton="0" quotePrefix="0" xfId="1">
      <alignment horizontal="left" vertical="center" wrapText="1"/>
    </xf>
    <xf numFmtId="166" fontId="0" fillId="0" borderId="0" pivotButton="0" quotePrefix="0" xfId="0"/>
    <xf numFmtId="0" fontId="11" fillId="11" borderId="8" applyAlignment="1" pivotButton="0" quotePrefix="0" xfId="1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11" fillId="12" borderId="8" applyAlignment="1" pivotButton="0" quotePrefix="0" xfId="1">
      <alignment horizontal="left" vertical="center" wrapText="1"/>
    </xf>
    <xf numFmtId="0" fontId="11" fillId="9" borderId="8" applyAlignment="1" pivotButton="0" quotePrefix="0" xfId="1">
      <alignment horizontal="left" vertical="center" wrapText="1"/>
    </xf>
    <xf numFmtId="0" fontId="12" fillId="13" borderId="8" applyAlignment="1" pivotButton="0" quotePrefix="0" xfId="1">
      <alignment horizontal="center" vertical="center" wrapText="1"/>
    </xf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10" fillId="10" borderId="8" applyAlignment="1" pivotButton="0" quotePrefix="0" xfId="1">
      <alignment horizontal="left" vertical="center" wrapText="1"/>
    </xf>
    <xf numFmtId="9" fontId="11" fillId="12" borderId="8" applyAlignment="1" pivotButton="0" quotePrefix="0" xfId="1">
      <alignment horizontal="left" vertical="center" wrapText="1"/>
    </xf>
    <xf numFmtId="0" fontId="8" fillId="10" borderId="8" applyAlignment="1" pivotButton="0" quotePrefix="0" xfId="1">
      <alignment horizontal="center" vertical="center" wrapText="1"/>
    </xf>
    <xf numFmtId="0" fontId="0" fillId="0" borderId="9" pivotButton="0" quotePrefix="0" xfId="0"/>
    <xf numFmtId="0" fontId="0" fillId="0" borderId="15" pivotButton="0" quotePrefix="0" xfId="0"/>
    <xf numFmtId="9" fontId="11" fillId="11" borderId="8" applyAlignment="1" pivotButton="0" quotePrefix="0" xfId="1">
      <alignment horizontal="left" vertical="center" wrapText="1"/>
    </xf>
    <xf numFmtId="164" fontId="11" fillId="10" borderId="8" applyAlignment="1" pivotButton="0" quotePrefix="0" xfId="1">
      <alignment horizontal="left" vertical="center" wrapText="1"/>
    </xf>
    <xf numFmtId="0" fontId="12" fillId="9" borderId="8" applyAlignment="1" pivotButton="0" quotePrefix="0" xfId="1">
      <alignment horizontal="left" vertical="center" wrapText="1"/>
    </xf>
    <xf numFmtId="0" fontId="11" fillId="10" borderId="8" applyAlignment="1" pivotButton="0" quotePrefix="0" xfId="1">
      <alignment horizontal="left" vertical="center" wrapText="1"/>
    </xf>
    <xf numFmtId="165" fontId="11" fillId="12" borderId="8" applyAlignment="1" pivotButton="0" quotePrefix="0" xfId="1">
      <alignment horizontal="left" vertical="center" wrapText="1"/>
    </xf>
    <xf numFmtId="164" fontId="11" fillId="12" borderId="8" applyAlignment="1" pivotButton="0" quotePrefix="0" xfId="1">
      <alignment horizontal="left" vertical="center" wrapText="1"/>
    </xf>
    <xf numFmtId="165" fontId="11" fillId="12" borderId="8" applyAlignment="1" pivotButton="0" quotePrefix="0" xfId="1">
      <alignment horizontal="left" vertical="center" wrapText="1"/>
    </xf>
    <xf numFmtId="164" fontId="11" fillId="11" borderId="8" applyAlignment="1" pivotButton="0" quotePrefix="0" xfId="1">
      <alignment horizontal="left" vertical="center" wrapText="1"/>
    </xf>
    <xf numFmtId="165" fontId="11" fillId="11" borderId="8" applyAlignment="1" pivotButton="0" quotePrefix="0" xfId="1">
      <alignment horizontal="left" vertical="center" wrapText="1"/>
    </xf>
    <xf numFmtId="165" fontId="2" fillId="3" borderId="3" pivotButton="0" quotePrefix="0" xfId="1"/>
    <xf numFmtId="164" fontId="11" fillId="10" borderId="8" applyAlignment="1" pivotButton="0" quotePrefix="0" xfId="1">
      <alignment horizontal="left" vertical="center" wrapText="1"/>
    </xf>
    <xf numFmtId="166" fontId="0" fillId="0" borderId="0" pivotButton="0" quotePrefix="0" xfId="0"/>
    <xf numFmtId="166" fontId="11" fillId="12" borderId="8" applyAlignment="1" pivotButton="0" quotePrefix="0" xfId="1">
      <alignment horizontal="left" vertical="center" wrapText="1"/>
    </xf>
    <xf numFmtId="166" fontId="11" fillId="11" borderId="8" applyAlignment="1" pivotButton="0" quotePrefix="0" xfId="1">
      <alignment horizontal="left" vertical="center" wrapText="1"/>
    </xf>
    <xf numFmtId="164" fontId="2" fillId="2" borderId="3" pivotButton="0" quotePrefix="0" xfId="1"/>
    <xf numFmtId="164" fontId="2" fillId="2" borderId="4" pivotButton="0" quotePrefix="0" xfId="1"/>
    <xf numFmtId="165" fontId="2" fillId="3" borderId="4" pivotButton="0" quotePrefix="0" xfId="1"/>
    <xf numFmtId="164" fontId="0" fillId="0" borderId="0" pivotButton="0" quotePrefix="0" xfId="1"/>
    <xf numFmtId="167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15" borderId="0" applyAlignment="1" pivotButton="0" quotePrefix="0" xfId="0">
      <alignment vertical="center" indent="1"/>
    </xf>
    <xf numFmtId="0" fontId="16" fillId="16" borderId="0" applyAlignment="1" pivotButton="0" quotePrefix="0" xfId="0">
      <alignment vertical="center" wrapText="1" indent="1"/>
    </xf>
    <xf numFmtId="0" fontId="17" fillId="16" borderId="0" applyAlignment="1" pivotButton="0" quotePrefix="0" xfId="0">
      <alignment vertical="center" wrapText="1" indent="1"/>
    </xf>
    <xf numFmtId="0" fontId="16" fillId="17" borderId="0" applyAlignment="1" pivotButton="0" quotePrefix="0" xfId="0">
      <alignment vertical="center" wrapText="1" indent="1"/>
    </xf>
    <xf numFmtId="0" fontId="17" fillId="17" borderId="0" applyAlignment="1" pivotButton="0" quotePrefix="0" xfId="0">
      <alignment vertical="center" wrapText="1" indent="1"/>
    </xf>
    <xf numFmtId="0" fontId="18" fillId="18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8" fontId="2" fillId="0" borderId="0" applyAlignment="1" pivotButton="0" quotePrefix="0" xfId="0">
      <alignment vertical="top" wrapText="1"/>
    </xf>
    <xf numFmtId="0" fontId="8" fillId="10" borderId="8" applyAlignment="1" pivotButton="0" quotePrefix="0" xfId="1">
      <alignment horizontal="center" vertical="top" wrapText="1"/>
    </xf>
    <xf numFmtId="0" fontId="11" fillId="12" borderId="8" applyAlignment="1" pivotButton="0" quotePrefix="0" xfId="1">
      <alignment horizontal="left" vertical="top" wrapText="1"/>
    </xf>
    <xf numFmtId="0" fontId="11" fillId="11" borderId="8" applyAlignment="1" pivotButton="0" quotePrefix="0" xfId="1">
      <alignment horizontal="left" vertical="top" wrapText="1"/>
    </xf>
    <xf numFmtId="0" fontId="2" fillId="2" borderId="3" applyAlignment="1" pivotButton="0" quotePrefix="0" xfId="1">
      <alignment vertical="top" wrapText="1"/>
    </xf>
  </cellXfs>
  <cellStyles count="2">
    <cellStyle name="常规" xfId="0" builtinId="0"/>
    <cellStyle name="Normal" xfId="1"/>
  </cellStyles>
  <dxfs count="63">
    <dxf>
      <font>
        <b val="1"/>
        <color rgb="FF2563EB"/>
      </font>
      <fill>
        <patternFill>
          <bgColor rgb="FFE8F1FB"/>
        </patternFill>
      </fill>
    </dxf>
    <dxf>
      <font>
        <b val="1"/>
        <color rgb="FFB42318"/>
      </font>
      <fill>
        <patternFill>
          <bgColor rgb="FFFDE8E7"/>
        </patternFill>
      </fill>
    </dxf>
    <dxf>
      <font>
        <b val="1"/>
        <color rgb="FF8A5A00"/>
      </font>
      <fill>
        <patternFill>
          <bgColor rgb="FFFFF4D6"/>
        </patternFill>
      </fill>
    </dxf>
    <dxf>
      <font>
        <b val="1"/>
        <color rgb="FF667085"/>
      </font>
      <fill>
        <patternFill>
          <bgColor rgb="FFF3F5F7"/>
        </patternFill>
      </fill>
    </dxf>
    <dxf>
      <font>
        <b val="1"/>
        <color rgb="FF206A3B"/>
      </font>
      <fill>
        <patternFill>
          <bgColor rgb="FFE6F4EA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</font>
      <fill>
        <patternFill>
          <bgColor rgb="FFFFF2CC"/>
        </patternFill>
      </fill>
    </dxf>
    <dxf>
      <font>
        <color rgb="FF92400E"/>
      </font>
      <fill>
        <patternFill>
          <bgColor rgb="FFFEF3C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B42318"/>
      </font>
      <fill>
        <patternFill>
          <bgColor rgb="FFFDE8E7"/>
        </patternFill>
      </fill>
    </dxf>
    <dxf>
      <font>
        <b val="1"/>
        <color rgb="FF206A3B"/>
      </font>
      <fill>
        <patternFill>
          <bgColor rgb="FFE6F4EA"/>
        </patternFill>
      </fill>
    </dxf>
    <dxf>
      <font>
        <b val="1"/>
        <color rgb="FF8A5A00"/>
      </font>
      <fill>
        <patternFill>
          <bgColor rgb="FFFFF4D6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color rgb="FF92400E"/>
      </font>
      <fill>
        <patternFill>
          <bgColor rgb="FFFEF3C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8A5A00"/>
      </font>
      <fill>
        <patternFill>
          <bgColor rgb="FFFFF4D6"/>
        </patternFill>
      </fill>
    </dxf>
    <dxf>
      <font>
        <b val="1"/>
        <color rgb="FFB42318"/>
      </font>
      <fill>
        <patternFill>
          <bgColor rgb="FFFDE8E7"/>
        </patternFill>
      </fill>
    </dxf>
    <dxf>
      <font>
        <b val="1"/>
        <color rgb="FF17365D"/>
      </font>
      <fill>
        <patternFill patternType="solid">
          <bgColor rgb="FFEEF3F8"/>
        </patternFill>
      </fill>
    </dxf>
    <dxf>
      <font>
        <b val="1"/>
        <color rgb="FF8A5A00"/>
      </font>
      <fill>
        <patternFill patternType="solid">
          <bgColor rgb="FFFFF4D6"/>
        </patternFill>
      </fill>
    </dxf>
    <dxf>
      <font>
        <b val="1"/>
        <color rgb="FFC0392B"/>
      </font>
      <fill>
        <patternFill patternType="solid">
          <bgColor rgb="FFFDECEC"/>
        </patternFill>
      </fill>
    </dxf>
    <dxf>
      <font>
        <b val="1"/>
        <color rgb="FFC0392B"/>
      </font>
      <fill>
        <patternFill patternType="solid">
          <bgColor rgb="FFFDECEC"/>
        </patternFill>
      </fill>
    </dxf>
    <dxf>
      <font>
        <b val="1"/>
        <color rgb="FF2E7D32"/>
      </font>
      <fill>
        <patternFill patternType="solid">
          <bgColor rgb="FFE8F5E9"/>
        </patternFill>
      </fill>
    </dxf>
    <dxf>
      <font>
        <b val="1"/>
        <color rgb="FFB42318"/>
      </font>
      <fill>
        <patternFill>
          <bgColor rgb="FFFDE8E7"/>
        </patternFill>
      </fill>
    </dxf>
    <dxf>
      <font>
        <b val="1"/>
        <color rgb="FFC0392B"/>
      </font>
      <fill>
        <patternFill patternType="solid">
          <bgColor rgb="FFFDECEC"/>
        </patternFill>
      </fill>
    </dxf>
    <dxf>
      <font>
        <b val="1"/>
        <color rgb="FF8A5A00"/>
      </font>
      <fill>
        <patternFill patternType="solid">
          <bgColor rgb="FFFFF4D6"/>
        </patternFill>
      </fill>
    </dxf>
    <dxf>
      <font>
        <b val="1"/>
        <color rgb="FF6B7280"/>
      </font>
      <fill>
        <patternFill patternType="solid">
          <bgColor rgb="FFF1F3F5"/>
        </patternFill>
      </fill>
    </dxf>
    <dxf>
      <font>
        <b val="1"/>
        <color rgb="FF2E7D32"/>
      </font>
      <fill>
        <patternFill patternType="solid">
          <bgColor rgb="FFE8F5E9"/>
        </patternFill>
      </fill>
    </dxf>
    <dxf>
      <font>
        <b val="1"/>
        <color rgb="FF8A5A00"/>
      </font>
      <fill>
        <patternFill>
          <bgColor rgb="FFFFF4D6"/>
        </patternFill>
      </fill>
    </dxf>
    <dxf>
      <font>
        <b val="1"/>
        <color rgb="FF8A5A00"/>
      </font>
      <fill>
        <patternFill>
          <bgColor rgb="FFFFF4D6"/>
        </patternFill>
      </fill>
    </dxf>
    <dxf>
      <font>
        <b val="1"/>
        <color rgb="FFB42318"/>
      </font>
      <fill>
        <patternFill>
          <bgColor rgb="FFFDE8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166534"/>
      </font>
      <fill>
        <patternFill>
          <bgColor rgb="FFDCFCE7"/>
        </patternFill>
      </fill>
    </dxf>
    <dxf>
      <font>
        <b val="1"/>
        <color rgb="FF8A5A00"/>
      </font>
      <fill>
        <patternFill>
          <bgColor rgb="FFFFF4D6"/>
        </patternFill>
      </fill>
    </dxf>
    <dxf>
      <font>
        <b val="1"/>
        <color rgb="FF206A3B"/>
      </font>
      <fill>
        <patternFill>
          <bgColor rgb="FFE6F4EA"/>
        </patternFill>
      </fill>
    </dxf>
    <dxf>
      <font>
        <b val="1"/>
        <color rgb="FF2563EB"/>
      </font>
      <fill>
        <patternFill>
          <bgColor rgb="FFE8F1FB"/>
        </patternFill>
      </fill>
    </dxf>
    <dxf>
      <font>
        <b val="1"/>
        <color rgb="FFB42318"/>
      </font>
      <fill>
        <patternFill>
          <bgColor rgb="FFFDE8E7"/>
        </patternFill>
      </fill>
    </dxf>
    <dxf>
      <font>
        <b val="1"/>
        <color rgb="FF206A3B"/>
      </font>
      <fill>
        <patternFill>
          <bgColor rgb="FFE6F4EA"/>
        </patternFill>
      </fill>
    </dxf>
    <dxf>
      <font>
        <b val="1"/>
        <color rgb="FF8A5A00"/>
      </font>
      <fill>
        <patternFill>
          <bgColor rgb="FFFFF4D6"/>
        </patternFill>
      </fill>
    </dxf>
    <dxf>
      <font>
        <b val="1"/>
        <color rgb="FFB42318"/>
      </font>
      <fill>
        <patternFill>
          <bgColor rgb="FFFDE8E7"/>
        </patternFill>
      </fill>
    </dxf>
    <dxf>
      <font>
        <b val="1"/>
        <color rgb="FF8A5A00"/>
      </font>
      <fill>
        <patternFill>
          <bgColor rgb="FFFFF4D6"/>
        </patternFill>
      </fill>
    </dxf>
    <dxf>
      <font>
        <b val="1"/>
        <color rgb="FF206A3B"/>
      </font>
      <fill>
        <patternFill>
          <bgColor rgb="FFE6F4EA"/>
        </patternFill>
      </fill>
    </dxf>
    <dxf>
      <font>
        <b val="1"/>
        <color rgb="FFB42318"/>
      </font>
      <fill>
        <patternFill>
          <bgColor rgb="FFFDE8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6D28D9"/>
      </font>
      <fill>
        <patternFill>
          <bgColor rgb="FFEDE9FE"/>
        </patternFill>
      </fill>
    </dxf>
    <dxf>
      <font>
        <color rgb="FF374151"/>
      </font>
      <fill>
        <patternFill>
          <bgColor rgb="FFE5E7EB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B42318"/>
      </font>
      <fill>
        <patternFill>
          <bgColor rgb="FFFDE8E7"/>
        </patternFill>
      </fill>
    </dxf>
    <dxf>
      <font>
        <b val="1"/>
        <color rgb="FFB42318"/>
      </font>
      <fill>
        <patternFill>
          <bgColor rgb="FFFDE8E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1"/>
        <ser>
          <idx val="0"/>
          <order val="0"/>
          <tx>
            <strRef>
              <f>Dashboard!$S$1</f>
              <strCache>
                <ptCount val="1"/>
                <pt idx="0">
                  <v>Total</v>
                </pt>
              </strCache>
            </strRef>
          </tx>
          <spPr>
            <a:solidFill>
              <a:srgbClr val="AFC7DE"/>
            </a:solidFill>
            <a:ln>
              <a:prstDash val="solid"/>
            </a:ln>
          </spPr>
          <invertIfNegative val="1"/>
          <cat>
            <strRef>
              <f>Dashboard!$R$2:$R$8</f>
              <strCache>
                <ptCount val="7"/>
                <pt idx="0">
                  <v>Public authority</v>
                </pt>
                <pt idx="1">
                  <v>Standards body</v>
                </pt>
                <pt idx="2">
                  <v>Certification scheme</v>
                </pt>
                <pt idx="3">
                  <v>Manufacturer / supplier</v>
                </pt>
                <pt idx="4">
                  <v>Project / engineering</v>
                </pt>
                <pt idx="5">
                  <v>Client internal</v>
                </pt>
                <pt idx="6">
                  <v>Pending classification</v>
                </pt>
              </strCache>
            </strRef>
          </cat>
          <val>
            <numRef>
              <f>Dashboard!$S$2:$S$8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2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1"/>
          <order val="1"/>
          <tx>
            <strRef>
              <f>Dashboard!$T$1</f>
              <strCache>
                <ptCount val="1"/>
                <pt idx="0">
                  <v>Included</v>
                </pt>
              </strCache>
            </strRef>
          </tx>
          <spPr>
            <a:solidFill>
              <a:srgbClr val="0F6B78"/>
            </a:solidFill>
            <a:ln>
              <a:prstDash val="solid"/>
            </a:ln>
          </spPr>
          <invertIfNegative val="1"/>
          <cat>
            <strRef>
              <f>Dashboard!$R$2:$R$8</f>
              <strCache>
                <ptCount val="7"/>
                <pt idx="0">
                  <v>Public authority</v>
                </pt>
                <pt idx="1">
                  <v>Standards body</v>
                </pt>
                <pt idx="2">
                  <v>Certification scheme</v>
                </pt>
                <pt idx="3">
                  <v>Manufacturer / supplier</v>
                </pt>
                <pt idx="4">
                  <v>Project / engineering</v>
                </pt>
                <pt idx="5">
                  <v>Client internal</v>
                </pt>
                <pt idx="6">
                  <v>Pending classification</v>
                </pt>
              </strCache>
            </strRef>
          </cat>
          <val>
            <numRef>
              <f>Dashboard!$T$2:$T$8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5"/>
        <axId val="10"/>
        <axId val="100"/>
      </barChart>
      <catAx>
        <axId val="10"/>
        <scaling>
          <orientation val="minMax"/>
          <min val="0"/>
        </scaling>
        <delete val="0"/>
        <axPos val="l"/>
        <numFmt formatCode="General" sourceLinked="1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b"/>
        <majorGridlines/>
        <numFmt formatCode="General" sourceLinked="1"/>
        <majorTickMark val="none"/>
        <minorTickMark val="none"/>
        <tickLblPos val="low"/>
        <crossAx val="10"/>
        <crosses val="autoZero"/>
        <crossBetween val="between"/>
      </valAx>
    </plotArea>
    <legend>
      <legendPos val="t"/>
      <overlay val="0"/>
    </legend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tx>
            <strRef>
              <f>Dashboard!$S$10</f>
              <strCache>
                <ptCount val="1"/>
                <pt idx="0">
                  <v>Count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rgbClr val="0F6B78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F28E2B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rgbClr val="2E7D32"/>
              </a:solidFill>
              <a:ln>
                <a:prstDash val="solid"/>
              </a:ln>
            </spPr>
          </dPt>
          <cat>
            <strRef>
              <f>Dashboard!$R$11:$R$13</f>
              <strCache>
                <ptCount val="3"/>
                <pt idx="0">
                  <v>INCLUDE</v>
                </pt>
                <pt idx="1">
                  <v>PENDING</v>
                </pt>
                <pt idx="2">
                  <v>EXCLUDE</v>
                </pt>
              </strCache>
            </strRef>
          </cat>
          <val>
            <numRef>
              <f>Dashboard!$S$11:$S$13</f>
              <numCache>
                <formatCode>General</formatCode>
                <ptCount val="3"/>
                <pt idx="0">
                  <v>1</v>
                </pt>
                <pt idx="1">
                  <v>1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  <holeSize val="58"/>
      </doughnutChart>
    </plotArea>
    <legend>
      <legendPos val="r"/>
      <overlay val="0"/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3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12</row>
      <rowOff>0</rowOff>
    </from>
    <ext cx="3816000" cy="194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RegisterTable" displayName="SourceRegisterTable" ref="A2:AS302" headerRowCount="1" totalsRowShown="0">
  <autoFilter ref="A2:AS302"/>
  <tableColumns count="45">
    <tableColumn id="1" name="source_id"/>
    <tableColumn id="2" name="snapshot_id"/>
    <tableColumn id="3" name="stored_filename"/>
    <tableColumn id="4" name="snapshot_status"/>
    <tableColumn id="5" name="selection_status"/>
    <tableColumn id="6" name="download_status"/>
    <tableColumn id="7" name="last_attempt_at"/>
    <tableColumn id="8" name="last_success_at"/>
    <tableColumn id="9" name="content_change"/>
    <tableColumn id="10" name="current_origin"/>
    <tableColumn id="11" name="current_snapshot_date"/>
    <tableColumn id="12" name="failure_stage"/>
    <tableColumn id="13" name="failure_reason"/>
    <tableColumn id="14" name="needs_human_action"/>
    <tableColumn id="15" name="content_hash"/>
    <tableColumn id="16" name="source_title"/>
    <tableColumn id="17" name="official_url"/>
    <tableColumn id="18" name="retrieval_url"/>
    <tableColumn id="19" name="folder_code"/>
    <tableColumn id="20" name="file_format"/>
    <tableColumn id="21" name="issuer"/>
    <tableColumn id="22" name="jurisdiction"/>
    <tableColumn id="23" name="authoritative_language"/>
    <tableColumn id="24" name="version"/>
    <tableColumn id="25" name="effective_date"/>
    <tableColumn id="26" name="source_family"/>
    <tableColumn id="27" name="document_type"/>
    <tableColumn id="28" name="requirement_role"/>
    <tableColumn id="29" name="inclusion_rationale"/>
    <tableColumn id="30" name="authority_quality"/>
    <tableColumn id="31" name="scope_relevance"/>
    <tableColumn id="32" name="version_currency"/>
    <tableColumn id="33" name="traceability"/>
    <tableColumn id="34" name="access_permission"/>
    <tableColumn id="35" name="automation_readiness"/>
    <tableColumn id="36" name="operator_selection_decision"/>
    <tableColumn id="37" name="manual_update_date"/>
    <tableColumn id="38" name="manual_updated_by"/>
    <tableColumn id="39" name="source_status"/>
    <tableColumn id="40" name="primary_source_id"/>
    <tableColumn id="41" name="notes"/>
    <tableColumn id="42" name="acquisition_channel"/>
    <tableColumn id="43" name="provenance_status"/>
    <tableColumn id="44" name="update_model"/>
    <tableColumn id="45" name="applicability_re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umanOperationsTable" displayName="HumanOperationsTable" ref="A2:AR139" headerRowCount="1" totalsRowShown="0">
  <autoFilter ref="A2:AR122"/>
  <tableColumns count="44">
    <tableColumn id="1" name="source_id"/>
    <tableColumn id="2" name="source_title"/>
    <tableColumn id="3" name="task_type"/>
    <tableColumn id="4" name="issue_summary"/>
    <tableColumn id="5" name="requested_action"/>
    <tableColumn id="6" name="operator_action"/>
    <tableColumn id="7" name="operator"/>
    <tableColumn id="8" name="operator_note"/>
    <tableColumn id="9" name="program_status"/>
    <tableColumn id="10" name="program_result"/>
    <tableColumn id="11" name="official_url"/>
    <tableColumn id="12" name="retrieval_url"/>
    <tableColumn id="13" name="authority_quality"/>
    <tableColumn id="14" name="scope_relevance"/>
    <tableColumn id="15" name="version_currency"/>
    <tableColumn id="16" name="traceability"/>
    <tableColumn id="17" name="access_permission"/>
    <tableColumn id="18" name="operator_selection_decision"/>
    <tableColumn id="19" name="applicability_reference"/>
    <tableColumn id="20" name="source_status"/>
    <tableColumn id="21" name="primary_source_id"/>
    <tableColumn id="22" name="source_notes"/>
    <tableColumn id="23" name="intake_file"/>
    <tableColumn id="24" name="folder_code"/>
    <tableColumn id="25" name="issuer"/>
    <tableColumn id="26" name="jurisdiction"/>
    <tableColumn id="27" name="document_type"/>
    <tableColumn id="28" name="source_family"/>
    <tableColumn id="29" name="requirement_role"/>
    <tableColumn id="30" name="authoritative_language"/>
    <tableColumn id="31" name="file_format"/>
    <tableColumn id="32" name="version"/>
    <tableColumn id="33" name="effective_date"/>
    <tableColumn id="34" name="inclusion_rationale"/>
    <tableColumn id="35" name="automation_readiness"/>
    <tableColumn id="36" name="acquisition_channel"/>
    <tableColumn id="37" name="provenance_status"/>
    <tableColumn id="38" name="update_model"/>
    <tableColumn id="39" name="candidate_origin"/>
    <tableColumn id="40" name="operation_id"/>
    <tableColumn id="41" name="checked_at"/>
    <tableColumn id="42" name="program_operated_at"/>
    <tableColumn id="43" name="created_at"/>
    <tableColumn id="44" name="payload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6"/>
  <sheetViews>
    <sheetView showGridLines="0" tabSelected="1" zoomScale="85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9" customWidth="1" min="1" max="1"/>
    <col width="33" customWidth="1" min="2" max="2"/>
    <col width="96" customWidth="1" min="3" max="3"/>
  </cols>
  <sheetData>
    <row r="1" ht="35" customHeight="1">
      <c r="A1" s="86" t="inlineStr">
        <is>
          <t>SYSTEM1 · SOURCE REGISTRY</t>
        </is>
      </c>
    </row>
    <row r="2" ht="25" customHeight="1">
      <c r="A2" s="87" t="inlineStr">
        <is>
          <t>Reference workbook · Review sources and use the Dashboard in the browser workbench</t>
        </is>
      </c>
    </row>
    <row r="3"/>
    <row r="4" ht="25" customHeight="1">
      <c r="A4" s="88" t="inlineStr">
        <is>
          <t>START IN THE WORKBENCH</t>
        </is>
      </c>
    </row>
    <row r="5" ht="47" customHeight="1">
      <c r="A5" s="89" t="inlineStr">
        <is>
          <t>1. Open</t>
        </is>
      </c>
      <c r="B5" s="90" t="inlineStr">
        <is>
          <t>Project-root launcher</t>
        </is>
      </c>
      <c r="C5" s="90" t="inlineStr">
        <is>
          <t>Save and close Excel, then double-click Open Workbench.command in the project root. It opens the browser workbench.</t>
        </is>
      </c>
    </row>
    <row r="6" ht="47" customHeight="1">
      <c r="A6" s="91" t="inlineStr">
        <is>
          <t>2. Identify yourself</t>
        </is>
      </c>
      <c r="B6" s="92" t="inlineStr">
        <is>
          <t>Current reviewer</t>
        </is>
      </c>
      <c r="C6" s="92" t="inlineStr">
        <is>
          <t>Choose Ana Jokic, Daniel Restad or Weijie Tang once. Switch reviewer when another person takes over.</t>
        </is>
      </c>
    </row>
    <row r="7" ht="47" customHeight="1">
      <c r="A7" s="89" t="inlineStr">
        <is>
          <t>3. Review</t>
        </is>
      </c>
      <c r="B7" s="90" t="inlineStr">
        <is>
          <t>System1 → Pending review</t>
        </is>
      </c>
      <c r="C7" s="90" t="inlineStr">
        <is>
          <t>Choose a source from the left queue. Open its official link or original, then complete the action requested on screen.</t>
        </is>
      </c>
    </row>
    <row r="8" ht="47" customHeight="1">
      <c r="A8" s="91" t="inlineStr">
        <is>
          <t>4. Record</t>
        </is>
      </c>
      <c r="B8" s="92" t="inlineStr">
        <is>
          <t>Submit decision</t>
        </is>
      </c>
      <c r="C8" s="92" t="inlineStr">
        <is>
          <t>Use Submit decision after choosing the requested ratings. Other tasks have their own save button. Do not run a program after each review.</t>
        </is>
      </c>
    </row>
    <row r="9" ht="47" customHeight="1">
      <c r="A9" s="89" t="inlineStr">
        <is>
          <t>5. Follow up</t>
        </is>
      </c>
      <c r="B9" s="90" t="inlineStr">
        <is>
          <t>Review history / Overview</t>
        </is>
      </c>
      <c r="C9" s="90" t="inlineStr">
        <is>
          <t>Completed reviews move to Review history. Unresolved issues stay pending. Overview contains the live Dashboard and weekly accuracy chart.</t>
        </is>
      </c>
    </row>
    <row r="10"/>
    <row r="11" ht="25" customHeight="1">
      <c r="A11" s="88" t="inlineStr">
        <is>
          <t>WHAT THIS WORKBOOK CONTAINS</t>
        </is>
      </c>
    </row>
    <row r="12" ht="47" customHeight="1">
      <c r="A12" s="91" t="inlineStr">
        <is>
          <t>Instructions</t>
        </is>
      </c>
      <c r="B12" s="92" t="inlineStr">
        <is>
          <t>Read-only guidance</t>
        </is>
      </c>
      <c r="C12" s="92" t="inlineStr">
        <is>
          <t>This guide points to the browser workflow. Full instructions: workbench/USER_GUIDE.md in the Requirement Workstream.</t>
        </is>
      </c>
    </row>
    <row r="13" ht="47" customHeight="1">
      <c r="A13" s="89" t="inlineStr">
        <is>
          <t>Categories</t>
        </is>
      </c>
      <c r="B13" s="90" t="inlineStr">
        <is>
          <t>Controlled vocabulary</t>
        </is>
      </c>
      <c r="C13" s="90" t="inlineStr">
        <is>
          <t>Program-maintained definitions and dropdown values. These are reference data, not a human review form.</t>
        </is>
      </c>
    </row>
    <row r="14" ht="47" customHeight="1">
      <c r="A14" s="91" t="inlineStr">
        <is>
          <t>Source Register</t>
        </is>
      </c>
      <c r="B14" s="92" t="inlineStr">
        <is>
          <t>Canonical source state</t>
        </is>
      </c>
      <c r="C14" s="92" t="inlineStr">
        <is>
          <t>System1 manages source identities, snapshots, scores and selection here. Submit human changes in the browser, not directly in these cells.</t>
        </is>
      </c>
    </row>
    <row r="15" ht="47" customHeight="1">
      <c r="A15" s="89" t="inlineStr">
        <is>
          <t>Dashboard</t>
        </is>
      </c>
      <c r="B15" s="90" t="inlineStr">
        <is>
          <t>Retired; hidden</t>
        </is>
      </c>
      <c r="C15" s="90" t="inlineStr">
        <is>
          <t>The browser Overview replaces the Excel Dashboard. Its old formulas and charts remain hidden for compatibility; do not unhide it for daily work.</t>
        </is>
      </c>
    </row>
    <row r="16" ht="47" customHeight="1">
      <c r="A16" s="91" t="inlineStr">
        <is>
          <t>Human Operation Desktop</t>
        </is>
      </c>
      <c r="B16" s="92" t="inlineStr">
        <is>
          <t>Program-owned; hidden</t>
        </is>
      </c>
      <c r="C16" s="92" t="inlineStr">
        <is>
          <t>The browser replaces this editing surface. The hidden sheet still stores adapter staging and audit history. Do not delete it or edit its rows.</t>
        </is>
      </c>
    </row>
    <row r="17"/>
    <row r="18" ht="25" customHeight="1">
      <c r="A18" s="88" t="inlineStr">
        <is>
          <t>REVIEW STATUS</t>
        </is>
      </c>
    </row>
    <row r="19" ht="47" customHeight="1">
      <c r="A19" s="89" t="inlineStr">
        <is>
          <t>Pending review</t>
        </is>
      </c>
      <c r="B19" s="90" t="inlineStr">
        <is>
          <t>Action remains unresolved</t>
        </is>
      </c>
      <c r="C19" s="90" t="inlineStr">
        <is>
          <t>Includes source assessment, missing originals, reported issues and weekly checks. A previous score or draft is not a completed decision.</t>
        </is>
      </c>
    </row>
    <row r="20" ht="47" customHeight="1">
      <c r="A20" s="91" t="inlineStr">
        <is>
          <t>Submitted / Waiting</t>
        </is>
      </c>
      <c r="B20" s="92" t="inlineStr">
        <is>
          <t>Not applied yet</t>
        </is>
      </c>
      <c r="C20" s="92" t="inlineStr">
        <is>
          <t>The workbench shows application progress. If Excel is open or another task holds the lock, processing waits and resumes automatically.</t>
        </is>
      </c>
    </row>
    <row r="21" ht="47" customHeight="1">
      <c r="A21" s="89" t="inlineStr">
        <is>
          <t>Applied / Review history</t>
        </is>
      </c>
      <c r="B21" s="90" t="inlineStr">
        <is>
          <t>Recorded decision</t>
        </is>
      </c>
      <c r="C21" s="90" t="inlineStr">
        <is>
          <t>The reviewer, original note and result are preserved. An applied partial correction can still leave a source pending for other issues.</t>
        </is>
      </c>
    </row>
    <row r="22" ht="47" customHeight="1">
      <c r="A22" s="91" t="inlineStr">
        <is>
          <t>INCLUDE / PENDING / EXCLUDE</t>
        </is>
      </c>
      <c r="B22" s="92" t="inlineStr">
        <is>
          <t>Effective source selection</t>
        </is>
      </c>
      <c r="C22" s="92" t="inlineStr">
        <is>
          <t>Selection is separate from file storage and download success. Inclusion requires a valid snapshot and completed governance gates.</t>
        </is>
      </c>
    </row>
    <row r="23"/>
    <row r="24" ht="25" customHeight="1">
      <c r="A24" s="88" t="inlineStr">
        <is>
          <t>COMMON REVIEW ACTIONS</t>
        </is>
      </c>
    </row>
    <row r="25" ht="47" customHeight="1">
      <c r="A25" s="89" t="inlineStr">
        <is>
          <t>Source assessment</t>
        </is>
      </c>
      <c r="B25" s="90" t="inlineStr">
        <is>
          <t>Rate five dimensions</t>
        </is>
      </c>
      <c r="C25" s="90" t="inlineStr">
        <is>
          <t>Click H / M / L for each requested dimension. Light fill is the previous score; dark fill is your current choice. Use Submit decision to apply the selected ratings.</t>
        </is>
      </c>
    </row>
    <row r="26" ht="47" customHeight="1">
      <c r="A26" s="91" t="inlineStr">
        <is>
          <t>Correct a link</t>
        </is>
      </c>
      <c r="B26" s="92" t="inlineStr">
        <is>
          <t>Save corrected links</t>
        </is>
      </c>
      <c r="C26" s="92" t="inlineStr">
        <is>
          <t>Open the suggested URL, correct the appropriate field and save. Saving a URL does not download or verify a new original. Reported issues require explicit verification.</t>
        </is>
      </c>
    </row>
    <row r="27" ht="47" customHeight="1">
      <c r="A27" s="89" t="inlineStr">
        <is>
          <t>Missing original</t>
        </is>
      </c>
      <c r="B27" s="90" t="inlineStr">
        <is>
          <t>Choose file</t>
        </is>
      </c>
      <c r="C27" s="90" t="inlineStr">
        <is>
          <t>Upload an authorised PDF, HTML or XLSX in the workbench. After the format check, confirm identity, completeness and permission, then submit.</t>
        </is>
      </c>
    </row>
    <row r="28" ht="47" customHeight="1">
      <c r="A28" s="91" t="inlineStr">
        <is>
          <t>Notes / Keep pending</t>
        </is>
      </c>
      <c r="B28" s="92" t="inlineStr">
        <is>
          <t>Preserve unresolved questions</t>
        </is>
      </c>
      <c r="C28" s="92" t="inlineStr">
        <is>
          <t>Notes save as drafts without completing a task. Explain the reason when keeping a source pending, removing it from scope or reporting an error.</t>
        </is>
      </c>
    </row>
    <row r="29" ht="47" customHeight="1">
      <c r="A29" s="89" t="inlineStr">
        <is>
          <t>Weekly random check</t>
        </is>
      </c>
      <c r="B29" s="90" t="inlineStr">
        <is>
          <t>Correct / Report an error</t>
        </is>
      </c>
      <c r="C29" s="90" t="inlineStr">
        <is>
          <t>Compare the sampled source with its original. An error creates a follow-up task; it does not count as a correct result.</t>
        </is>
      </c>
    </row>
    <row r="30" ht="47" customHeight="1">
      <c r="A30" s="91" t="inlineStr">
        <is>
          <t>New candidate</t>
        </is>
      </c>
      <c r="B30" s="92" t="inlineStr">
        <is>
          <t>Maintainer-assisted intake</t>
        </is>
      </c>
      <c r="C30" s="92" t="inlineStr">
        <is>
          <t>A dedicated browser candidate form is not connected yet. Ask the maintainer to handle the named-human acceptance; never use ordinary ratings as candidate acceptance.</t>
        </is>
      </c>
    </row>
    <row r="31"/>
    <row r="32" ht="25" customHeight="1">
      <c r="A32" s="88" t="inlineStr">
        <is>
          <t>SOURCE RULES</t>
        </is>
      </c>
    </row>
    <row r="33" ht="47" customHeight="1">
      <c r="A33" s="89" t="inlineStr">
        <is>
          <t>Identity and retrieval</t>
        </is>
      </c>
      <c r="B33" s="90" t="inlineStr">
        <is>
          <t>Two distinct URLs</t>
        </is>
      </c>
      <c r="C33" s="90" t="inlineStr">
        <is>
          <t>official_url identifies the publisher page; retrieval_url identifies the downloadable original. Preserve the original format and authoritative language.</t>
        </is>
      </c>
    </row>
    <row r="34" ht="47" customHeight="1">
      <c r="A34" s="91" t="inlineStr">
        <is>
          <t>Existing snapshots</t>
        </is>
      </c>
      <c r="B34" s="92" t="inlineStr">
        <is>
          <t>Preserve valid originals</t>
        </is>
      </c>
      <c r="C34" s="92" t="inlineStr">
        <is>
          <t>Failed retrieval or replacement must retain the current valid snapshot and failure evidence. An authorised upload is required for restricted material; never bypass a paywall.</t>
        </is>
      </c>
    </row>
    <row r="35" ht="47" customHeight="1">
      <c r="A35" s="89" t="inlineStr">
        <is>
          <t>Downstream use</t>
        </is>
      </c>
      <c r="B35" s="90" t="inlineStr">
        <is>
          <t>Source eligibility is governed here</t>
        </is>
      </c>
      <c r="C35" s="90" t="inlineStr">
        <is>
          <t>Downstream parsing consumes the controlled source state and original. Stored files and source approval do not prove extraction accuracy or legal compliance.</t>
        </is>
      </c>
    </row>
    <row r="36"/>
    <row r="37" ht="25" customHeight="1">
      <c r="A37" s="88" t="inlineStr">
        <is>
          <t>AUTOMATIC PROCESSING</t>
        </is>
      </c>
    </row>
    <row r="38" ht="47" customHeight="1">
      <c r="A38" s="91" t="inlineStr">
        <is>
          <t>Weekly QA</t>
        </is>
      </c>
      <c r="B38" s="92" t="inlineStr">
        <is>
          <t>Service-owned schedule</t>
        </is>
      </c>
      <c r="C38" s="92" t="inlineStr">
        <is>
          <t>Every Monday, sample 5 eligible items per connected system in Europe/Oslo time. After downtime, create only the current week's missing batch. Keep incomplete weeks blank in accuracy charts.</t>
        </is>
      </c>
    </row>
    <row r="39" ht="47" customHeight="1">
      <c r="A39" s="89" t="inlineStr">
        <is>
          <t>Browser decisions</t>
        </is>
      </c>
      <c r="B39" s="90" t="inlineStr">
        <is>
          <t>No manual rerun</t>
        </is>
      </c>
      <c r="C39" s="90" t="inlineStr">
        <is>
          <t>The running workbench applies submitted reviews automatically. Weekly QA is part of the service, not a Codex task. Closing the page does not stop the service.</t>
        </is>
      </c>
    </row>
    <row r="40" ht="47" customHeight="1">
      <c r="A40" s="91" t="inlineStr">
        <is>
          <t>Maintenance schedules</t>
        </is>
      </c>
      <c r="B40" s="92" t="inlineStr">
        <is>
          <t>Separate, optional</t>
        </is>
      </c>
      <c r="C40" s="92" t="inlineStr">
        <is>
          <t>Source retrieval and maintenance schedules require explicit setup by a maintainer. Opening the workbench does not start Full Source Check, downloads or parsing.</t>
        </is>
      </c>
    </row>
    <row r="41"/>
    <row r="42" ht="25" customHeight="1">
      <c r="A42" s="88" t="inlineStr">
        <is>
          <t>RECOVERY AND HELP</t>
        </is>
      </c>
    </row>
    <row r="43" ht="47" customHeight="1">
      <c r="A43" s="89" t="inlineStr">
        <is>
          <t>Workbook repair prompt</t>
        </is>
      </c>
      <c r="B43" s="90" t="inlineStr">
        <is>
          <t>Stop and preserve evidence</t>
        </is>
      </c>
      <c r="C43" s="90" t="inlineStr">
        <is>
          <t>Do not accept automatic repair. Keep the file and contact the maintainer to restore a verified backup under the normal locks.</t>
        </is>
      </c>
    </row>
    <row r="44" ht="47" customHeight="1">
      <c r="A44" s="91" t="inlineStr">
        <is>
          <t>Excel is open</t>
        </is>
      </c>
      <c r="B44" s="92" t="inlineStr">
        <is>
          <t>Save and close Excel</t>
        </is>
      </c>
      <c r="C44" s="92" t="inlineStr">
        <is>
          <t>Submitted decisions remain waiting. The service retries automatically when the workbook is available. Do not force a second writer.</t>
        </is>
      </c>
    </row>
    <row r="45" ht="47" customHeight="1">
      <c r="A45" s="89" t="inlineStr">
        <is>
          <t>Unconfirmed submission</t>
        </is>
      </c>
      <c r="B45" s="90" t="inlineStr">
        <is>
          <t>Retry submission</t>
        </is>
      </c>
      <c r="C45" s="90" t="inlineStr">
        <is>
          <t>Use the existing request in the workbench so its request ID is preserved. For an outdated task, reload and review the current source version.</t>
        </is>
      </c>
    </row>
    <row r="46" ht="47" customHeight="1">
      <c r="A46" s="91" t="inlineStr">
        <is>
          <t>Project documentation</t>
        </is>
      </c>
      <c r="B46" s="92" t="inlineStr">
        <is>
          <t>One entry point</t>
        </is>
      </c>
      <c r="C46" s="92" t="inlineStr">
        <is>
          <t>Start with the project-root README.md. Agent rules are in the root AGENTS.md; current System1 facts are in system1/PROJECT_STATE.md.</t>
        </is>
      </c>
    </row>
  </sheetData>
  <mergeCells count="9">
    <mergeCell ref="A42:C42"/>
    <mergeCell ref="A11:C11"/>
    <mergeCell ref="A1:C1"/>
    <mergeCell ref="A37:C37"/>
    <mergeCell ref="A32:C32"/>
    <mergeCell ref="A18:C18"/>
    <mergeCell ref="A4:C4"/>
    <mergeCell ref="A24:C24"/>
    <mergeCell ref="A2:C2"/>
  </mergeCells>
  <printOptions horizontalCentered="1"/>
  <pageMargins left="0.25" right="0.25" top="0.3" bottom="0.3" header="0.5" footer="0.5"/>
  <pageSetup orientation="landscape" paperSize="9" fitToHeight="0" fitToWidth="1"/>
  <headerFooter>
    <oddHeader/>
    <oddFooter>&amp;CSystem1 reference guide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5"/>
  <sheetViews>
    <sheetView showGridLines="0" tabSelected="0" workbookViewId="0">
      <pane ySplit="2" topLeftCell="A3" activePane="bottomLeft" state="frozen"/>
      <selection pane="bottomLeft" activeCell="A1" sqref="A1:D1"/>
    </sheetView>
  </sheetViews>
  <sheetFormatPr baseColWidth="10" defaultColWidth="8.83203125" defaultRowHeight="14"/>
  <cols>
    <col width="14" customWidth="1" min="1" max="1"/>
    <col width="40" customWidth="1" min="2" max="2"/>
    <col width="60" customWidth="1" min="3" max="3"/>
    <col width="30" customWidth="1" min="4" max="4"/>
  </cols>
  <sheetData>
    <row r="1" ht="20" customHeight="1">
      <c r="A1" s="62" t="inlineStr">
        <is>
          <t>Categories and Controlled Values</t>
        </is>
      </c>
      <c r="B1" s="54" t="n"/>
      <c r="C1" s="54" t="n"/>
      <c r="D1" s="55" t="n"/>
    </row>
    <row r="2" ht="20" customHeight="1">
      <c r="A2" s="69" t="inlineStr">
        <is>
          <t>Program-generated controlled values. Do not edit this sheet directly; update approved configuration and regenerate.</t>
        </is>
      </c>
      <c r="B2" s="54" t="n"/>
      <c r="C2" s="54" t="n"/>
      <c r="D2" s="55" t="n"/>
    </row>
    <row r="3" ht="20" customHeight="1"/>
    <row r="4" ht="20" customHeight="1">
      <c r="A4" s="53" t="inlineStr">
        <is>
          <t>Classification dimension | Source family and identifier prefix</t>
        </is>
      </c>
      <c r="B4" s="54" t="n"/>
      <c r="C4" s="54" t="n"/>
      <c r="D4" s="55" t="n"/>
    </row>
    <row r="5" ht="20" customHeight="1">
      <c r="A5" s="64" t="inlineStr">
        <is>
          <t>Code</t>
        </is>
      </c>
      <c r="B5" s="64" t="inlineStr">
        <is>
          <t>Option value</t>
        </is>
      </c>
      <c r="C5" s="64" t="inlineStr">
        <is>
          <t>Definition</t>
        </is>
      </c>
      <c r="D5" s="64" t="inlineStr">
        <is>
          <t>Folder code</t>
        </is>
      </c>
    </row>
    <row r="6" ht="20" customHeight="1">
      <c r="A6" s="53" t="inlineStr">
        <is>
          <t>PA</t>
        </is>
      </c>
      <c r="B6" s="53" t="inlineStr">
        <is>
          <t>Public authority</t>
        </is>
      </c>
      <c r="C6" s="53" t="inlineStr">
        <is>
          <t>Government, regulator or permitting authority</t>
        </is>
      </c>
      <c r="D6" s="53" t="inlineStr">
        <is>
          <t>A_Public_Authority</t>
        </is>
      </c>
    </row>
    <row r="7" ht="20" customHeight="1">
      <c r="A7" s="56" t="inlineStr">
        <is>
          <t>SB</t>
        </is>
      </c>
      <c r="B7" s="56" t="inlineStr">
        <is>
          <t>Standards body</t>
        </is>
      </c>
      <c r="C7" s="56" t="inlineStr">
        <is>
          <t>Standards organisation such as NS, EN or ISO</t>
        </is>
      </c>
      <c r="D7" s="56" t="inlineStr">
        <is>
          <t>B_Standards_Body</t>
        </is>
      </c>
    </row>
    <row r="8" ht="20" customHeight="1">
      <c r="A8" s="53" t="inlineStr">
        <is>
          <t>CS</t>
        </is>
      </c>
      <c r="B8" s="53" t="inlineStr">
        <is>
          <t>Certification scheme</t>
        </is>
      </c>
      <c r="C8" s="53" t="inlineStr">
        <is>
          <t>Certification scheme such as ASC or GLOBALG.A.P.</t>
        </is>
      </c>
      <c r="D8" s="53" t="inlineStr">
        <is>
          <t>C_Certification_Scheme</t>
        </is>
      </c>
    </row>
    <row r="9" ht="20" customHeight="1">
      <c r="A9" s="56" t="inlineStr">
        <is>
          <t>MS</t>
        </is>
      </c>
      <c r="B9" s="56" t="inlineStr">
        <is>
          <t>Manufacturer / supplier</t>
        </is>
      </c>
      <c r="C9" s="56" t="inlineStr">
        <is>
          <t>Equipment manufacturer or supplier</t>
        </is>
      </c>
      <c r="D9" s="56" t="inlineStr">
        <is>
          <t>D_Manufacturer_Supplier</t>
        </is>
      </c>
    </row>
    <row r="10" ht="20" customHeight="1">
      <c r="A10" s="53" t="inlineStr">
        <is>
          <t>PE</t>
        </is>
      </c>
      <c r="B10" s="53" t="inlineStr">
        <is>
          <t>Project / engineering</t>
        </is>
      </c>
      <c r="C10" s="53" t="inlineStr">
        <is>
          <t>Site, design or engineering source</t>
        </is>
      </c>
      <c r="D10" s="53" t="inlineStr">
        <is>
          <t>E_Project_Engineering</t>
        </is>
      </c>
    </row>
    <row r="11" ht="20" customHeight="1">
      <c r="A11" s="56" t="inlineStr">
        <is>
          <t>CI</t>
        </is>
      </c>
      <c r="B11" s="56" t="inlineStr">
        <is>
          <t>Client / internal</t>
        </is>
      </c>
      <c r="C11" s="56" t="inlineStr">
        <is>
          <t>Client, contract or internal rule</t>
        </is>
      </c>
      <c r="D11" s="56" t="inlineStr">
        <is>
          <t>F_Client_Internal</t>
        </is>
      </c>
    </row>
    <row r="12" ht="20" customHeight="1">
      <c r="A12" s="53" t="inlineStr">
        <is>
          <t>PC</t>
        </is>
      </c>
      <c r="B12" s="53" t="inlineStr">
        <is>
          <t>Pending classification</t>
        </is>
      </c>
      <c r="C12" s="53" t="inlineStr">
        <is>
          <t>Temporary category; cannot be directly included</t>
        </is>
      </c>
      <c r="D12" s="53" t="inlineStr">
        <is>
          <t>Z_Pending_Classification</t>
        </is>
      </c>
    </row>
    <row r="13" ht="20" customHeight="1">
      <c r="A13" s="20" t="n"/>
      <c r="B13" s="20" t="n"/>
      <c r="C13" s="20" t="n"/>
      <c r="D13" s="20" t="n"/>
    </row>
    <row r="14" ht="20" customHeight="1">
      <c r="A14" s="53" t="inlineStr">
        <is>
          <t>Classification dimension | Document type</t>
        </is>
      </c>
      <c r="B14" s="54" t="n"/>
      <c r="C14" s="54" t="n"/>
      <c r="D14" s="55" t="n"/>
    </row>
    <row r="15" ht="20" customHeight="1">
      <c r="A15" s="56" t="inlineStr">
        <is>
          <t>Code</t>
        </is>
      </c>
      <c r="B15" s="56" t="inlineStr">
        <is>
          <t>Option value</t>
        </is>
      </c>
      <c r="C15" s="56" t="inlineStr">
        <is>
          <t>Definition</t>
        </is>
      </c>
      <c r="D15" s="56" t="inlineStr">
        <is>
          <t>Notes</t>
        </is>
      </c>
    </row>
    <row r="16" ht="20" customHeight="1">
      <c r="A16" s="53" t="inlineStr">
        <is>
          <t>LAW</t>
        </is>
      </c>
      <c r="B16" s="53" t="inlineStr">
        <is>
          <t>Law</t>
        </is>
      </c>
      <c r="C16" s="53" t="inlineStr">
        <is>
          <t>Primary legislation</t>
        </is>
      </c>
      <c r="D16" s="17" t="n"/>
    </row>
    <row r="17" ht="20" customHeight="1">
      <c r="A17" s="56" t="inlineStr">
        <is>
          <t>REG</t>
        </is>
      </c>
      <c r="B17" s="56" t="inlineStr">
        <is>
          <t>Regulation</t>
        </is>
      </c>
      <c r="C17" s="56" t="inlineStr">
        <is>
          <t>Secondary legislation or regulation</t>
        </is>
      </c>
      <c r="D17" s="18" t="n"/>
    </row>
    <row r="18" ht="20" customHeight="1">
      <c r="A18" s="53" t="inlineStr">
        <is>
          <t>PER</t>
        </is>
      </c>
      <c r="B18" s="53" t="inlineStr">
        <is>
          <t>Permit / authority decision</t>
        </is>
      </c>
      <c r="C18" s="53" t="inlineStr">
        <is>
          <t>Permit or site-specific administrative decision</t>
        </is>
      </c>
      <c r="D18" s="17" t="n"/>
    </row>
    <row r="19" ht="20" customHeight="1">
      <c r="A19" s="56" t="inlineStr">
        <is>
          <t>STD</t>
        </is>
      </c>
      <c r="B19" s="56" t="inlineStr">
        <is>
          <t>Technical standard</t>
        </is>
      </c>
      <c r="C19" s="56" t="inlineStr">
        <is>
          <t>NS, EN, ISO or industry technical standard</t>
        </is>
      </c>
      <c r="D19" s="18" t="n"/>
    </row>
    <row r="20" ht="20" customHeight="1">
      <c r="A20" s="53" t="inlineStr">
        <is>
          <t>SCH</t>
        </is>
      </c>
      <c r="B20" s="53" t="inlineStr">
        <is>
          <t>Scheme standard</t>
        </is>
      </c>
      <c r="C20" s="53" t="inlineStr">
        <is>
          <t>Primary certification scheme standard</t>
        </is>
      </c>
      <c r="D20" s="17" t="n"/>
    </row>
    <row r="21" ht="20" customHeight="1">
      <c r="A21" s="56" t="inlineStr">
        <is>
          <t>INT</t>
        </is>
      </c>
      <c r="B21" s="56" t="inlineStr">
        <is>
          <t>Interpretation document</t>
        </is>
      </c>
      <c r="C21" s="56" t="inlineStr">
        <is>
          <t>Interpretation manual or guidance</t>
        </is>
      </c>
      <c r="D21" s="18" t="n"/>
    </row>
    <row r="22" ht="20" customHeight="1">
      <c r="A22" s="53" t="inlineStr">
        <is>
          <t>AUD</t>
        </is>
      </c>
      <c r="B22" s="53" t="inlineStr">
        <is>
          <t>Audit / assessment document</t>
        </is>
      </c>
      <c r="C22" s="53" t="inlineStr">
        <is>
          <t>Audit manual, checklist or assessment tool</t>
        </is>
      </c>
      <c r="D22" s="17" t="n"/>
    </row>
    <row r="23" ht="20" customHeight="1">
      <c r="A23" s="56" t="inlineStr">
        <is>
          <t>MAN</t>
        </is>
      </c>
      <c r="B23" s="56" t="inlineStr">
        <is>
          <t>Equipment manual / OEM instruction</t>
        </is>
      </c>
      <c r="C23" s="56" t="inlineStr">
        <is>
          <t>Manufacturer installation, operation, maintenance or safety instruction</t>
        </is>
      </c>
      <c r="D23" s="18" t="n"/>
    </row>
    <row r="24" ht="20" customHeight="1">
      <c r="A24" s="53" t="inlineStr">
        <is>
          <t>ENG</t>
        </is>
      </c>
      <c r="B24" s="53" t="inlineStr">
        <is>
          <t>Design / engineering document</t>
        </is>
      </c>
      <c r="C24" s="53" t="inlineStr">
        <is>
          <t>Design basis, analysis or engineering report</t>
        </is>
      </c>
      <c r="D24" s="17" t="n"/>
    </row>
    <row r="25" ht="20" customHeight="1">
      <c r="A25" s="56" t="inlineStr">
        <is>
          <t>CON</t>
        </is>
      </c>
      <c r="B25" s="56" t="inlineStr">
        <is>
          <t>Internal policy / contract</t>
        </is>
      </c>
      <c r="C25" s="56" t="inlineStr">
        <is>
          <t>Client, contract or internal normative document</t>
        </is>
      </c>
      <c r="D25" s="18" t="n"/>
    </row>
    <row r="26" ht="20" customHeight="1">
      <c r="A26" s="53" t="inlineStr">
        <is>
          <t>OTH</t>
        </is>
      </c>
      <c r="B26" s="53" t="inlineStr">
        <is>
          <t>Other</t>
        </is>
      </c>
      <c r="C26" s="53" t="inlineStr">
        <is>
          <t>Use only when no controlled document type applies</t>
        </is>
      </c>
      <c r="D26" s="19" t="n"/>
    </row>
    <row r="27" ht="20" customHeight="1">
      <c r="A27" s="20" t="n"/>
      <c r="B27" s="20" t="n"/>
      <c r="C27" s="20" t="n"/>
      <c r="D27" s="20" t="n"/>
    </row>
    <row r="28" ht="20" customHeight="1">
      <c r="A28" s="53" t="inlineStr">
        <is>
          <t>Classification dimension | Requirement role</t>
        </is>
      </c>
      <c r="B28" s="54" t="n"/>
      <c r="C28" s="54" t="n"/>
      <c r="D28" s="55" t="n"/>
    </row>
    <row r="29" ht="20" customHeight="1">
      <c r="A29" s="56" t="inlineStr">
        <is>
          <t>Code</t>
        </is>
      </c>
      <c r="B29" s="56" t="inlineStr">
        <is>
          <t>Option value</t>
        </is>
      </c>
      <c r="C29" s="56" t="inlineStr">
        <is>
          <t>Definition</t>
        </is>
      </c>
      <c r="D29" s="56" t="inlineStr">
        <is>
          <t>Notes</t>
        </is>
      </c>
    </row>
    <row r="30" ht="20" customHeight="1">
      <c r="A30" s="53" t="inlineStr">
        <is>
          <t>PN</t>
        </is>
      </c>
      <c r="B30" s="53" t="inlineStr">
        <is>
          <t>Primary normative</t>
        </is>
      </c>
      <c r="C30" s="53" t="inlineStr">
        <is>
          <t>Directly creates requirements within the approved scope</t>
        </is>
      </c>
      <c r="D30" s="17" t="n"/>
    </row>
    <row r="31" ht="20" customHeight="1">
      <c r="A31" s="56" t="inlineStr">
        <is>
          <t>RN</t>
        </is>
      </c>
      <c r="B31" s="56" t="inlineStr">
        <is>
          <t>Referenced normative</t>
        </is>
      </c>
      <c r="C31" s="56" t="inlineStr">
        <is>
          <t>Applies through citation by law, contract or a primary source</t>
        </is>
      </c>
      <c r="D31" s="18" t="n"/>
    </row>
    <row r="32" ht="20" customHeight="1">
      <c r="A32" s="53" t="inlineStr">
        <is>
          <t>AN</t>
        </is>
      </c>
      <c r="B32" s="53" t="inlineStr">
        <is>
          <t>Asset-specific normative</t>
        </is>
      </c>
      <c r="C32" s="53" t="inlineStr">
        <is>
          <t>Creates requirements only for confirmed applicable equipment, model, asset or configuration</t>
        </is>
      </c>
      <c r="D32" s="17" t="n"/>
    </row>
    <row r="33" ht="20" customHeight="1">
      <c r="A33" s="56" t="inlineStr">
        <is>
          <t>GI</t>
        </is>
      </c>
      <c r="B33" s="56" t="inlineStr">
        <is>
          <t>Guidance / interpretation</t>
        </is>
      </c>
      <c r="C33" s="56" t="inlineStr">
        <is>
          <t>Helps interpretation but does not independently create requirements</t>
        </is>
      </c>
      <c r="D33" s="18" t="n"/>
    </row>
    <row r="34" ht="20" customHeight="1">
      <c r="A34" s="53" t="inlineStr">
        <is>
          <t>AT</t>
        </is>
      </c>
      <c r="B34" s="53" t="inlineStr">
        <is>
          <t>Audit / assessment tool</t>
        </is>
      </c>
      <c r="C34" s="53" t="inlineStr">
        <is>
          <t>Supports verification and should link to a primary source</t>
        </is>
      </c>
      <c r="D34" s="17" t="n"/>
    </row>
    <row r="35" ht="20" customHeight="1">
      <c r="A35" s="56" t="inlineStr">
        <is>
          <t>CE</t>
        </is>
      </c>
      <c r="B35" s="56" t="inlineStr">
        <is>
          <t>Context / evidence</t>
        </is>
      </c>
      <c r="C35" s="56" t="inlineStr">
        <is>
          <t>Provides facts or proof; only normative statements may become requirements</t>
        </is>
      </c>
      <c r="D35" s="18" t="n"/>
    </row>
    <row r="36" ht="20" customHeight="1">
      <c r="A36" s="53" t="inlineStr">
        <is>
          <t>DW</t>
        </is>
      </c>
      <c r="B36" s="53" t="inlineStr">
        <is>
          <t>Draft working material</t>
        </is>
      </c>
      <c r="C36" s="53" t="inlineStr">
        <is>
          <t>Working material that cannot be treated as formal authority</t>
        </is>
      </c>
      <c r="D36" s="19" t="n"/>
    </row>
    <row r="37" ht="20" customHeight="1">
      <c r="A37" s="20" t="n"/>
      <c r="B37" s="20" t="n"/>
      <c r="C37" s="20" t="n"/>
      <c r="D37" s="20" t="n"/>
    </row>
    <row r="38" ht="20" customHeight="1">
      <c r="A38" s="53" t="inlineStr">
        <is>
          <t>Authoritative language</t>
        </is>
      </c>
      <c r="B38" s="54" t="n"/>
      <c r="C38" s="54" t="n"/>
      <c r="D38" s="55" t="n"/>
    </row>
    <row r="39" ht="20" customHeight="1">
      <c r="A39" s="56" t="inlineStr">
        <is>
          <t>Code</t>
        </is>
      </c>
      <c r="B39" s="56" t="inlineStr">
        <is>
          <t>Option value</t>
        </is>
      </c>
      <c r="C39" s="56" t="inlineStr">
        <is>
          <t>Definition</t>
        </is>
      </c>
      <c r="D39" s="56" t="inlineStr">
        <is>
          <t>Notes</t>
        </is>
      </c>
    </row>
    <row r="40" ht="20" customHeight="1">
      <c r="A40" s="53" t="inlineStr">
        <is>
          <t>EN</t>
        </is>
      </c>
      <c r="B40" s="53" t="inlineStr">
        <is>
          <t>English</t>
        </is>
      </c>
      <c r="C40" s="53" t="inlineStr">
        <is>
          <t>English is authoritative</t>
        </is>
      </c>
      <c r="D40" s="53" t="inlineStr">
        <is>
          <t>Use the authoritative language first; among equivalent official versions the working preference is English, then Norwegian, then Other</t>
        </is>
      </c>
    </row>
    <row r="41" ht="20" customHeight="1">
      <c r="A41" s="56" t="inlineStr">
        <is>
          <t>NO</t>
        </is>
      </c>
      <c r="B41" s="56" t="inlineStr">
        <is>
          <t>Norwegian</t>
        </is>
      </c>
      <c r="C41" s="56" t="inlineStr">
        <is>
          <t>Norwegian is authoritative</t>
        </is>
      </c>
      <c r="D41" s="18" t="n"/>
    </row>
    <row r="42" ht="20" customHeight="1">
      <c r="A42" s="53" t="inlineStr">
        <is>
          <t>OT</t>
        </is>
      </c>
      <c r="B42" s="53" t="inlineStr">
        <is>
          <t>Other</t>
        </is>
      </c>
      <c r="C42" s="53" t="inlineStr">
        <is>
          <t>Another language is authoritative; specify details in notes</t>
        </is>
      </c>
      <c r="D42" s="19" t="n"/>
    </row>
    <row r="43" ht="20" customHeight="1">
      <c r="A43" s="20" t="n"/>
      <c r="B43" s="20" t="n"/>
      <c r="C43" s="20" t="n"/>
      <c r="D43" s="20" t="n"/>
    </row>
    <row r="44" ht="20" customHeight="1">
      <c r="A44" s="53" t="inlineStr">
        <is>
          <t>Jurisdiction</t>
        </is>
      </c>
      <c r="B44" s="54" t="n"/>
      <c r="C44" s="54" t="n"/>
      <c r="D44" s="55" t="n"/>
    </row>
    <row r="45" ht="20" customHeight="1">
      <c r="A45" s="56" t="inlineStr">
        <is>
          <t>Code</t>
        </is>
      </c>
      <c r="B45" s="56" t="inlineStr">
        <is>
          <t>Option value</t>
        </is>
      </c>
      <c r="C45" s="56" t="inlineStr">
        <is>
          <t>Definition</t>
        </is>
      </c>
      <c r="D45" s="56" t="inlineStr">
        <is>
          <t>Notes</t>
        </is>
      </c>
    </row>
    <row r="46" ht="20" customHeight="1">
      <c r="A46" s="53" t="inlineStr">
        <is>
          <t>NO</t>
        </is>
      </c>
      <c r="B46" s="53" t="inlineStr">
        <is>
          <t>Norway</t>
        </is>
      </c>
      <c r="C46" s="53" t="inlineStr">
        <is>
          <t>Norwegian jurisdiction</t>
        </is>
      </c>
      <c r="D46" s="17" t="n"/>
    </row>
    <row r="47" ht="20" customHeight="1">
      <c r="A47" s="56" t="inlineStr">
        <is>
          <t>EU</t>
        </is>
      </c>
      <c r="B47" s="56" t="inlineStr">
        <is>
          <t>EU / EEA</t>
        </is>
      </c>
      <c r="C47" s="56" t="inlineStr">
        <is>
          <t>European Union or European Economic Area</t>
        </is>
      </c>
      <c r="D47" s="18" t="n"/>
    </row>
    <row r="48" ht="20" customHeight="1">
      <c r="A48" s="53" t="inlineStr">
        <is>
          <t>INT</t>
        </is>
      </c>
      <c r="B48" s="53" t="inlineStr">
        <is>
          <t>International</t>
        </is>
      </c>
      <c r="C48" s="53" t="inlineStr">
        <is>
          <t>International or scheme-wide scope</t>
        </is>
      </c>
      <c r="D48" s="17" t="n"/>
    </row>
    <row r="49" ht="20" customHeight="1">
      <c r="A49" s="56" t="inlineStr">
        <is>
          <t>MULTI</t>
        </is>
      </c>
      <c r="B49" s="56" t="inlineStr">
        <is>
          <t>Multi-jurisdiction</t>
        </is>
      </c>
      <c r="C49" s="56" t="inlineStr">
        <is>
          <t>Applies across more than one defined jurisdiction</t>
        </is>
      </c>
      <c r="D49" s="18" t="n"/>
    </row>
    <row r="50" ht="20" customHeight="1">
      <c r="A50" s="53" t="inlineStr">
        <is>
          <t>SITE</t>
        </is>
      </c>
      <c r="B50" s="53" t="inlineStr">
        <is>
          <t>Site-specific</t>
        </is>
      </c>
      <c r="C50" s="53" t="inlineStr">
        <is>
          <t>Applies to one site, permit or location</t>
        </is>
      </c>
      <c r="D50" s="17" t="n"/>
    </row>
    <row r="51" ht="20" customHeight="1">
      <c r="A51" s="56" t="inlineStr">
        <is>
          <t>OTH</t>
        </is>
      </c>
      <c r="B51" s="56" t="inlineStr">
        <is>
          <t>Other</t>
        </is>
      </c>
      <c r="C51" s="56" t="inlineStr">
        <is>
          <t>Another jurisdiction; specify details in notes</t>
        </is>
      </c>
      <c r="D51" s="21" t="n"/>
    </row>
    <row r="52" ht="20" customHeight="1">
      <c r="A52" s="16" t="n"/>
      <c r="B52" s="16" t="n"/>
      <c r="C52" s="16" t="n"/>
      <c r="D52" s="16" t="n"/>
    </row>
    <row r="53" ht="20" customHeight="1">
      <c r="A53" s="56" t="inlineStr">
        <is>
          <t>File format</t>
        </is>
      </c>
      <c r="B53" s="54" t="n"/>
      <c r="C53" s="54" t="n"/>
      <c r="D53" s="55" t="n"/>
    </row>
    <row r="54" ht="20" customHeight="1">
      <c r="A54" s="53" t="inlineStr">
        <is>
          <t>Code</t>
        </is>
      </c>
      <c r="B54" s="53" t="inlineStr">
        <is>
          <t>Option value</t>
        </is>
      </c>
      <c r="C54" s="53" t="inlineStr">
        <is>
          <t>Definition</t>
        </is>
      </c>
      <c r="D54" s="53" t="inlineStr">
        <is>
          <t>Notes</t>
        </is>
      </c>
    </row>
    <row r="55" ht="20" customHeight="1">
      <c r="A55" s="56" t="inlineStr">
        <is>
          <t>PDF</t>
        </is>
      </c>
      <c r="B55" s="56" t="inlineStr">
        <is>
          <t>pdf</t>
        </is>
      </c>
      <c r="C55" s="56" t="inlineStr">
        <is>
          <t>Use when no equivalent official HTML version contains the full source content</t>
        </is>
      </c>
      <c r="D55" s="18" t="n"/>
    </row>
    <row r="56" ht="20" customHeight="1">
      <c r="A56" s="53" t="inlineStr">
        <is>
          <t>HTML</t>
        </is>
      </c>
      <c r="B56" s="53" t="inlineStr">
        <is>
          <t>html</t>
        </is>
      </c>
      <c r="C56" s="53" t="inlineStr">
        <is>
          <t>Preferred format whenever an equivalent official HTML source contains the full authoritative content</t>
        </is>
      </c>
      <c r="D56" s="17" t="n"/>
    </row>
    <row r="57" ht="20" customHeight="1">
      <c r="A57" s="56" t="inlineStr">
        <is>
          <t>XLSX</t>
        </is>
      </c>
      <c r="B57" s="56" t="inlineStr">
        <is>
          <t>xlsx</t>
        </is>
      </c>
      <c r="C57" s="56" t="inlineStr">
        <is>
          <t>Original Excel workbook</t>
        </is>
      </c>
      <c r="D57" s="18" t="n"/>
    </row>
    <row r="58" ht="20" customHeight="1">
      <c r="A58" s="53" t="inlineStr">
        <is>
          <t>ZIP</t>
        </is>
      </c>
      <c r="B58" s="53" t="inlineStr">
        <is>
          <t>zip</t>
        </is>
      </c>
      <c r="C58" s="53" t="inlineStr">
        <is>
          <t>Original ZIP package; extraction requires an explicit rule</t>
        </is>
      </c>
      <c r="D58" s="19" t="n"/>
    </row>
    <row r="59" ht="20" customHeight="1">
      <c r="A59" s="20" t="n"/>
      <c r="B59" s="20" t="n"/>
      <c r="C59" s="20" t="n"/>
      <c r="D59" s="20" t="n"/>
    </row>
    <row r="60" ht="20" customHeight="1">
      <c r="A60" s="53" t="inlineStr">
        <is>
          <t>Assessment score</t>
        </is>
      </c>
      <c r="B60" s="54" t="n"/>
      <c r="C60" s="54" t="n"/>
      <c r="D60" s="55" t="n"/>
    </row>
    <row r="61" ht="20" customHeight="1">
      <c r="A61" s="56" t="inlineStr">
        <is>
          <t>Code</t>
        </is>
      </c>
      <c r="B61" s="56" t="inlineStr">
        <is>
          <t>Option value</t>
        </is>
      </c>
      <c r="C61" s="56" t="inlineStr">
        <is>
          <t>Definition</t>
        </is>
      </c>
      <c r="D61" s="56" t="inlineStr">
        <is>
          <t>Notes</t>
        </is>
      </c>
    </row>
    <row r="62" ht="20" customHeight="1">
      <c r="A62" s="53" t="inlineStr">
        <is>
          <t>L</t>
        </is>
      </c>
      <c r="B62" s="53" t="inlineStr">
        <is>
          <t>LOW</t>
        </is>
      </c>
      <c r="C62" s="53" t="inlineStr">
        <is>
          <t>Does not meet the criterion or evidence is materially insufficient</t>
        </is>
      </c>
      <c r="D62" s="17" t="n"/>
    </row>
    <row r="63" ht="20" customHeight="1">
      <c r="A63" s="56" t="inlineStr">
        <is>
          <t>M</t>
        </is>
      </c>
      <c r="B63" s="56" t="inlineStr">
        <is>
          <t>MEDIUM</t>
        </is>
      </c>
      <c r="C63" s="56" t="inlineStr">
        <is>
          <t>May meet the criterion but requires confirmation</t>
        </is>
      </c>
      <c r="D63" s="18" t="n"/>
    </row>
    <row r="64" ht="20" customHeight="1">
      <c r="A64" s="53" t="inlineStr">
        <is>
          <t>H</t>
        </is>
      </c>
      <c r="B64" s="53" t="inlineStr">
        <is>
          <t>HIGH</t>
        </is>
      </c>
      <c r="C64" s="53" t="inlineStr">
        <is>
          <t>Verified and supported by sufficient evidence</t>
        </is>
      </c>
      <c r="D64" s="19" t="n"/>
    </row>
    <row r="65" ht="20" customHeight="1">
      <c r="A65" s="20" t="n"/>
      <c r="B65" s="20" t="n"/>
      <c r="C65" s="20" t="n"/>
      <c r="D65" s="20" t="n"/>
    </row>
    <row r="66" ht="20" customHeight="1">
      <c r="A66" s="53" t="inlineStr">
        <is>
          <t>Selection status</t>
        </is>
      </c>
      <c r="B66" s="54" t="n"/>
      <c r="C66" s="54" t="n"/>
      <c r="D66" s="55" t="n"/>
    </row>
    <row r="67" ht="20" customHeight="1">
      <c r="A67" s="56" t="inlineStr">
        <is>
          <t>Code</t>
        </is>
      </c>
      <c r="B67" s="56" t="inlineStr">
        <is>
          <t>Option value</t>
        </is>
      </c>
      <c r="C67" s="56" t="inlineStr">
        <is>
          <t>Definition</t>
        </is>
      </c>
      <c r="D67" s="56" t="inlineStr">
        <is>
          <t>Notes</t>
        </is>
      </c>
    </row>
    <row r="68" ht="20" customHeight="1">
      <c r="A68" s="53" t="inlineStr">
        <is>
          <t>P</t>
        </is>
      </c>
      <c r="B68" s="53" t="inlineStr">
        <is>
          <t>PENDING</t>
        </is>
      </c>
      <c r="C68" s="53" t="inlineStr">
        <is>
          <t>Not yet selected, a gate is incomplete, or no validated current file with SUCCESS is available</t>
        </is>
      </c>
      <c r="D68" s="17" t="n"/>
    </row>
    <row r="69" ht="20" customHeight="1">
      <c r="A69" s="56" t="inlineStr">
        <is>
          <t>I</t>
        </is>
      </c>
      <c r="B69" s="56" t="inlineStr">
        <is>
          <t>INCLUDE</t>
        </is>
      </c>
      <c r="C69" s="56" t="inlineStr">
        <is>
          <t>Operator decision is INCLUDE, all mandatory gates are HIGH, and the current file is STORED with download_status SUCCESS</t>
        </is>
      </c>
      <c r="D69" s="18" t="n"/>
    </row>
    <row r="70" ht="20" customHeight="1">
      <c r="A70" s="53" t="inlineStr">
        <is>
          <t>E</t>
        </is>
      </c>
      <c r="B70" s="53" t="inlineStr">
        <is>
          <t>EXCLUDE</t>
        </is>
      </c>
      <c r="C70" s="53" t="inlineStr">
        <is>
          <t>Operator decision is EXCLUDE or at least one mandatory criterion is LOW</t>
        </is>
      </c>
      <c r="D70" s="19" t="n"/>
    </row>
    <row r="71" ht="20" customHeight="1">
      <c r="A71" s="20" t="n"/>
      <c r="B71" s="20" t="n"/>
      <c r="C71" s="20" t="n"/>
      <c r="D71" s="20" t="n"/>
    </row>
    <row r="72" ht="20" customHeight="1">
      <c r="A72" s="53" t="inlineStr">
        <is>
          <t>Snapshot status</t>
        </is>
      </c>
      <c r="B72" s="54" t="n"/>
      <c r="C72" s="54" t="n"/>
      <c r="D72" s="55" t="n"/>
    </row>
    <row r="73" ht="20" customHeight="1">
      <c r="A73" s="56" t="inlineStr">
        <is>
          <t>Code</t>
        </is>
      </c>
      <c r="B73" s="56" t="inlineStr">
        <is>
          <t>Option value</t>
        </is>
      </c>
      <c r="C73" s="56" t="inlineStr">
        <is>
          <t>Definition</t>
        </is>
      </c>
      <c r="D73" s="56" t="inlineStr">
        <is>
          <t>Notes</t>
        </is>
      </c>
    </row>
    <row r="74" ht="20" customHeight="1">
      <c r="A74" s="53" t="inlineStr">
        <is>
          <t>NC</t>
        </is>
      </c>
      <c r="B74" s="53" t="inlineStr">
        <is>
          <t>NOT_COLLECTED</t>
        </is>
      </c>
      <c r="C74" s="53" t="inlineStr">
        <is>
          <t>No current file has been collected</t>
        </is>
      </c>
      <c r="D74" s="17" t="n"/>
    </row>
    <row r="75" ht="20" customHeight="1">
      <c r="A75" s="56" t="inlineStr">
        <is>
          <t>ST</t>
        </is>
      </c>
      <c r="B75" s="56" t="inlineStr">
        <is>
          <t>STORED</t>
        </is>
      </c>
      <c r="C75" s="56" t="inlineStr">
        <is>
          <t>Current file is stored and locatable</t>
        </is>
      </c>
      <c r="D75" s="18" t="n"/>
    </row>
    <row r="76" ht="20" customHeight="1">
      <c r="A76" s="53" t="inlineStr">
        <is>
          <t>MI</t>
        </is>
      </c>
      <c r="B76" s="53" t="inlineStr">
        <is>
          <t>MISSING</t>
        </is>
      </c>
      <c r="C76" s="53" t="inlineStr">
        <is>
          <t>A registry record exists but the file is missing</t>
        </is>
      </c>
      <c r="D76" s="19" t="n"/>
    </row>
    <row r="77" ht="20" customHeight="1">
      <c r="A77" s="20" t="n"/>
      <c r="B77" s="20" t="n"/>
      <c r="C77" s="20" t="n"/>
      <c r="D77" s="20" t="n"/>
    </row>
    <row r="78" ht="20" customHeight="1">
      <c r="A78" s="53" t="inlineStr">
        <is>
          <t>Download status</t>
        </is>
      </c>
      <c r="B78" s="54" t="n"/>
      <c r="C78" s="54" t="n"/>
      <c r="D78" s="55" t="n"/>
    </row>
    <row r="79" ht="20" customHeight="1">
      <c r="A79" s="56" t="inlineStr">
        <is>
          <t>Code</t>
        </is>
      </c>
      <c r="B79" s="56" t="inlineStr">
        <is>
          <t>Option value</t>
        </is>
      </c>
      <c r="C79" s="56" t="inlineStr">
        <is>
          <t>Definition</t>
        </is>
      </c>
      <c r="D79" s="56" t="inlineStr">
        <is>
          <t>Notes</t>
        </is>
      </c>
    </row>
    <row r="80" ht="20" customHeight="1">
      <c r="A80" s="53" t="inlineStr">
        <is>
          <t>NR</t>
        </is>
      </c>
      <c r="B80" s="53" t="inlineStr">
        <is>
          <t>NOT_RUN</t>
        </is>
      </c>
      <c r="C80" s="53" t="inlineStr">
        <is>
          <t>Automated retrieval has not run</t>
        </is>
      </c>
      <c r="D80" s="17" t="n"/>
    </row>
    <row r="81" ht="20" customHeight="1">
      <c r="A81" s="56" t="inlineStr">
        <is>
          <t>PB</t>
        </is>
      </c>
      <c r="B81" s="56" t="inlineStr">
        <is>
          <t>PAYWALL_BLOCKED</t>
        </is>
      </c>
      <c r="C81" s="56" t="inlineStr">
        <is>
          <t>The official source is restricted by a paywall or licence; an authorised copy or route is required</t>
        </is>
      </c>
      <c r="D81" s="18" t="n"/>
    </row>
    <row r="82" ht="20" customHeight="1">
      <c r="A82" s="53" t="inlineStr">
        <is>
          <t>SU</t>
        </is>
      </c>
      <c r="B82" s="53" t="inlineStr">
        <is>
          <t>SUCCESS</t>
        </is>
      </c>
      <c r="C82" s="53" t="inlineStr">
        <is>
          <t>Download, validation and safe storage succeeded</t>
        </is>
      </c>
      <c r="D82" s="17" t="n"/>
    </row>
    <row r="83" ht="20" customHeight="1">
      <c r="A83" s="56" t="inlineStr">
        <is>
          <t>FA</t>
        </is>
      </c>
      <c r="B83" s="56" t="inlineStr">
        <is>
          <t>FAIL</t>
        </is>
      </c>
      <c r="C83" s="56" t="inlineStr">
        <is>
          <t>At least one stage failed and requires a recorded reason</t>
        </is>
      </c>
      <c r="D83" s="21" t="n"/>
    </row>
    <row r="84" ht="20" customHeight="1">
      <c r="A84" s="16" t="n"/>
      <c r="B84" s="16" t="n"/>
      <c r="C84" s="16" t="n"/>
      <c r="D84" s="16" t="n"/>
    </row>
    <row r="85" ht="20" customHeight="1">
      <c r="A85" s="56" t="inlineStr">
        <is>
          <t>Content change</t>
        </is>
      </c>
      <c r="B85" s="54" t="n"/>
      <c r="C85" s="54" t="n"/>
      <c r="D85" s="55" t="n"/>
    </row>
    <row r="86" ht="20" customHeight="1">
      <c r="A86" s="53" t="inlineStr">
        <is>
          <t>Code</t>
        </is>
      </c>
      <c r="B86" s="53" t="inlineStr">
        <is>
          <t>Option value</t>
        </is>
      </c>
      <c r="C86" s="53" t="inlineStr">
        <is>
          <t>Definition</t>
        </is>
      </c>
      <c r="D86" s="53" t="inlineStr">
        <is>
          <t>Notes</t>
        </is>
      </c>
    </row>
    <row r="87" ht="20" customHeight="1">
      <c r="A87" s="56" t="inlineStr">
        <is>
          <t>UK</t>
        </is>
      </c>
      <c r="B87" s="56" t="inlineStr">
        <is>
          <t>UNKNOWN</t>
        </is>
      </c>
      <c r="C87" s="56" t="inlineStr">
        <is>
          <t>Content has not been compared</t>
        </is>
      </c>
      <c r="D87" s="18" t="n"/>
    </row>
    <row r="88" ht="20" customHeight="1">
      <c r="A88" s="53" t="inlineStr">
        <is>
          <t>IN</t>
        </is>
      </c>
      <c r="B88" s="53" t="inlineStr">
        <is>
          <t>INITIAL</t>
        </is>
      </c>
      <c r="C88" s="53" t="inlineStr">
        <is>
          <t>First validated collection; no earlier snapshot exists</t>
        </is>
      </c>
      <c r="D88" s="17" t="n"/>
    </row>
    <row r="89" ht="20" customHeight="1">
      <c r="A89" s="56" t="inlineStr">
        <is>
          <t>UN</t>
        </is>
      </c>
      <c r="B89" s="56" t="inlineStr">
        <is>
          <t>UNCHANGED</t>
        </is>
      </c>
      <c r="C89" s="56" t="inlineStr">
        <is>
          <t>Hash matches the current valid file</t>
        </is>
      </c>
      <c r="D89" s="18" t="n"/>
    </row>
    <row r="90" ht="20" customHeight="1">
      <c r="A90" s="53" t="inlineStr">
        <is>
          <t>CH</t>
        </is>
      </c>
      <c r="B90" s="53" t="inlineStr">
        <is>
          <t>CHANGED</t>
        </is>
      </c>
      <c r="C90" s="53" t="inlineStr">
        <is>
          <t>Hash differs and creates a new snapshot</t>
        </is>
      </c>
      <c r="D90" s="19" t="n"/>
    </row>
    <row r="91" ht="20" customHeight="1">
      <c r="A91" s="20" t="n"/>
      <c r="B91" s="20" t="n"/>
      <c r="C91" s="20" t="n"/>
      <c r="D91" s="20" t="n"/>
    </row>
    <row r="92" ht="20" customHeight="1">
      <c r="A92" s="53" t="inlineStr">
        <is>
          <t>Current origin</t>
        </is>
      </c>
      <c r="B92" s="54" t="n"/>
      <c r="C92" s="54" t="n"/>
      <c r="D92" s="55" t="n"/>
    </row>
    <row r="93" ht="20" customHeight="1">
      <c r="A93" s="56" t="inlineStr">
        <is>
          <t>Code</t>
        </is>
      </c>
      <c r="B93" s="56" t="inlineStr">
        <is>
          <t>Option value</t>
        </is>
      </c>
      <c r="C93" s="56" t="inlineStr">
        <is>
          <t>Definition</t>
        </is>
      </c>
      <c r="D93" s="56" t="inlineStr">
        <is>
          <t>Notes</t>
        </is>
      </c>
    </row>
    <row r="94" ht="20" customHeight="1">
      <c r="A94" s="53" t="inlineStr">
        <is>
          <t>NO</t>
        </is>
      </c>
      <c r="B94" s="53" t="inlineStr">
        <is>
          <t>NONE</t>
        </is>
      </c>
      <c r="C94" s="53" t="inlineStr">
        <is>
          <t>No valid file exists</t>
        </is>
      </c>
      <c r="D94" s="17" t="n"/>
    </row>
    <row r="95" ht="20" customHeight="1">
      <c r="A95" s="56" t="inlineStr">
        <is>
          <t>AU</t>
        </is>
      </c>
      <c r="B95" s="56" t="inlineStr">
        <is>
          <t>AUTO</t>
        </is>
      </c>
      <c r="C95" s="56" t="inlineStr">
        <is>
          <t>Current file came from successful automated retrieval</t>
        </is>
      </c>
      <c r="D95" s="18" t="n"/>
    </row>
    <row r="96" ht="20" customHeight="1">
      <c r="A96" s="53" t="inlineStr">
        <is>
          <t>MA</t>
        </is>
      </c>
      <c r="B96" s="53" t="inlineStr">
        <is>
          <t>MANUAL</t>
        </is>
      </c>
      <c r="C96" s="53" t="inlineStr">
        <is>
          <t>Current file came from manual fallback</t>
        </is>
      </c>
      <c r="D96" s="19" t="n"/>
    </row>
    <row r="97" ht="20" customHeight="1">
      <c r="A97" s="20" t="n"/>
      <c r="B97" s="20" t="n"/>
      <c r="C97" s="20" t="n"/>
      <c r="D97" s="20" t="n"/>
    </row>
    <row r="98" ht="20" customHeight="1">
      <c r="A98" s="53" t="inlineStr">
        <is>
          <t>Failure stage</t>
        </is>
      </c>
      <c r="B98" s="54" t="n"/>
      <c r="C98" s="54" t="n"/>
      <c r="D98" s="55" t="n"/>
    </row>
    <row r="99" ht="20" customHeight="1">
      <c r="A99" s="56" t="inlineStr">
        <is>
          <t>Code</t>
        </is>
      </c>
      <c r="B99" s="56" t="inlineStr">
        <is>
          <t>Option value</t>
        </is>
      </c>
      <c r="C99" s="56" t="inlineStr">
        <is>
          <t>Definition</t>
        </is>
      </c>
      <c r="D99" s="56" t="inlineStr">
        <is>
          <t>Notes</t>
        </is>
      </c>
    </row>
    <row r="100" ht="20" customHeight="1">
      <c r="A100" s="53" t="inlineStr">
        <is>
          <t>NON</t>
        </is>
      </c>
      <c r="B100" s="53" t="inlineStr">
        <is>
          <t>NONE</t>
        </is>
      </c>
      <c r="C100" s="53" t="inlineStr">
        <is>
          <t>No failure</t>
        </is>
      </c>
      <c r="D100" s="17" t="n"/>
    </row>
    <row r="101" ht="20" customHeight="1">
      <c r="A101" s="56" t="inlineStr">
        <is>
          <t>CFG</t>
        </is>
      </c>
      <c r="B101" s="56" t="inlineStr">
        <is>
          <t>CONFIG</t>
        </is>
      </c>
      <c r="C101" s="56" t="inlineStr">
        <is>
          <t>Required field, URL, format or folder configuration is invalid</t>
        </is>
      </c>
      <c r="D101" s="18" t="n"/>
    </row>
    <row r="102" ht="20" customHeight="1">
      <c r="A102" s="53" t="inlineStr">
        <is>
          <t>CON</t>
        </is>
      </c>
      <c r="B102" s="53" t="inlineStr">
        <is>
          <t>CONNECTION</t>
        </is>
      </c>
      <c r="C102" s="53" t="inlineStr">
        <is>
          <t>DNS, network or connection failure</t>
        </is>
      </c>
      <c r="D102" s="17" t="n"/>
    </row>
    <row r="103" ht="20" customHeight="1">
      <c r="A103" s="56" t="inlineStr">
        <is>
          <t>HTT</t>
        </is>
      </c>
      <c r="B103" s="56" t="inlineStr">
        <is>
          <t>HTTP</t>
        </is>
      </c>
      <c r="C103" s="56" t="inlineStr">
        <is>
          <t>HTTP status, redirect or permission failure</t>
        </is>
      </c>
      <c r="D103" s="18" t="n"/>
    </row>
    <row r="104" ht="20" customHeight="1">
      <c r="A104" s="53" t="inlineStr">
        <is>
          <t>DOW</t>
        </is>
      </c>
      <c r="B104" s="53" t="inlineStr">
        <is>
          <t>DOWNLOAD</t>
        </is>
      </c>
      <c r="C104" s="53" t="inlineStr">
        <is>
          <t>Interrupted, timed-out or incomplete download</t>
        </is>
      </c>
      <c r="D104" s="17" t="n"/>
    </row>
    <row r="105" ht="20" customHeight="1">
      <c r="A105" s="56" t="inlineStr">
        <is>
          <t>FOR</t>
        </is>
      </c>
      <c r="B105" s="56" t="inlineStr">
        <is>
          <t>FORMAT</t>
        </is>
      </c>
      <c r="C105" s="56" t="inlineStr">
        <is>
          <t>Extension, MIME type or file signature mismatch</t>
        </is>
      </c>
      <c r="D105" s="18" t="n"/>
    </row>
    <row r="106" ht="20" customHeight="1">
      <c r="A106" s="53" t="inlineStr">
        <is>
          <t>CNT</t>
        </is>
      </c>
      <c r="B106" s="53" t="inlineStr">
        <is>
          <t>CONTENT</t>
        </is>
      </c>
      <c r="C106" s="53" t="inlineStr">
        <is>
          <t>Empty file, error page, login page or unreadable content</t>
        </is>
      </c>
      <c r="D106" s="17" t="n"/>
    </row>
    <row r="107" ht="20" customHeight="1">
      <c r="A107" s="56" t="inlineStr">
        <is>
          <t>STO</t>
        </is>
      </c>
      <c r="B107" s="56" t="inlineStr">
        <is>
          <t>STORAGE</t>
        </is>
      </c>
      <c r="C107" s="56" t="inlineStr">
        <is>
          <t>Write, rename or archive failure</t>
        </is>
      </c>
      <c r="D107" s="18" t="n"/>
    </row>
    <row r="108" ht="20" customHeight="1">
      <c r="A108" s="53" t="inlineStr">
        <is>
          <t>UNK</t>
        </is>
      </c>
      <c r="B108" s="53" t="inlineStr">
        <is>
          <t>UNKNOWN</t>
        </is>
      </c>
      <c r="C108" s="53" t="inlineStr">
        <is>
          <t>Failure stage not yet identified</t>
        </is>
      </c>
      <c r="D108" s="19" t="n"/>
    </row>
    <row r="109" ht="20" customHeight="1">
      <c r="A109" s="20" t="n"/>
      <c r="B109" s="20" t="n"/>
      <c r="C109" s="20" t="n"/>
      <c r="D109" s="20" t="n"/>
    </row>
    <row r="110" ht="20" customHeight="1">
      <c r="A110" s="53" t="inlineStr">
        <is>
          <t>Source status</t>
        </is>
      </c>
      <c r="B110" s="54" t="n"/>
      <c r="C110" s="54" t="n"/>
      <c r="D110" s="55" t="n"/>
    </row>
    <row r="111" ht="20" customHeight="1">
      <c r="A111" s="56" t="inlineStr">
        <is>
          <t>Code</t>
        </is>
      </c>
      <c r="B111" s="56" t="inlineStr">
        <is>
          <t>Option value</t>
        </is>
      </c>
      <c r="C111" s="56" t="inlineStr">
        <is>
          <t>Definition</t>
        </is>
      </c>
      <c r="D111" s="56" t="inlineStr">
        <is>
          <t>Notes</t>
        </is>
      </c>
    </row>
    <row r="112" ht="20" customHeight="1">
      <c r="A112" s="53" t="inlineStr">
        <is>
          <t>CU</t>
        </is>
      </c>
      <c r="B112" s="53" t="inlineStr">
        <is>
          <t>CURRENT</t>
        </is>
      </c>
      <c r="C112" s="53" t="inlineStr">
        <is>
          <t>Currently valid source</t>
        </is>
      </c>
      <c r="D112" s="17" t="n"/>
    </row>
    <row r="113" ht="20" customHeight="1">
      <c r="A113" s="56" t="inlineStr">
        <is>
          <t>SU</t>
        </is>
      </c>
      <c r="B113" s="56" t="inlineStr">
        <is>
          <t>SUPERSEDED</t>
        </is>
      </c>
      <c r="C113" s="56" t="inlineStr">
        <is>
          <t>Replaced by a later source or version</t>
        </is>
      </c>
      <c r="D113" s="18" t="n"/>
    </row>
    <row r="114" ht="20" customHeight="1">
      <c r="A114" s="53" t="inlineStr">
        <is>
          <t>WI</t>
        </is>
      </c>
      <c r="B114" s="53" t="inlineStr">
        <is>
          <t>WITHDRAWN</t>
        </is>
      </c>
      <c r="C114" s="53" t="inlineStr">
        <is>
          <t>Withdrawn by the issuer or no longer applicable</t>
        </is>
      </c>
      <c r="D114" s="19" t="n"/>
    </row>
    <row r="115" ht="20" customHeight="1">
      <c r="A115" s="20" t="n"/>
      <c r="B115" s="20" t="n"/>
      <c r="C115" s="20" t="n"/>
      <c r="D115" s="20" t="n"/>
    </row>
    <row r="116" ht="20" customHeight="1">
      <c r="A116" s="53" t="inlineStr">
        <is>
          <t>Acquisition channel</t>
        </is>
      </c>
      <c r="B116" s="54" t="n"/>
      <c r="C116" s="54" t="n"/>
      <c r="D116" s="55" t="n"/>
    </row>
    <row r="117" ht="20" customHeight="1">
      <c r="A117" s="56" t="inlineStr">
        <is>
          <t>Code</t>
        </is>
      </c>
      <c r="B117" s="56" t="inlineStr">
        <is>
          <t>Option value</t>
        </is>
      </c>
      <c r="C117" s="56" t="inlineStr">
        <is>
          <t>Definition</t>
        </is>
      </c>
      <c r="D117" s="56" t="inlineStr">
        <is>
          <t>Notes</t>
        </is>
      </c>
    </row>
    <row r="118" ht="20" customHeight="1">
      <c r="A118" s="53" t="inlineStr">
        <is>
          <t>OW</t>
        </is>
      </c>
      <c r="B118" s="53" t="inlineStr">
        <is>
          <t>OFFICIAL_WEBSITE</t>
        </is>
      </c>
      <c r="C118" s="53" t="inlineStr">
        <is>
          <t>Retrieved from an official public issuer or scheme website</t>
        </is>
      </c>
      <c r="D118" s="17" t="n"/>
    </row>
    <row r="119" ht="20" customHeight="1">
      <c r="A119" s="56" t="inlineStr">
        <is>
          <t>CL</t>
        </is>
      </c>
      <c r="B119" s="56" t="inlineStr">
        <is>
          <t>CLIENT_OR_SITE</t>
        </is>
      </c>
      <c r="C119" s="56" t="inlineStr">
        <is>
          <t>Provided through a client or site-controlled channel</t>
        </is>
      </c>
      <c r="D119" s="18" t="n"/>
    </row>
    <row r="120" ht="20" customHeight="1">
      <c r="A120" s="53" t="inlineStr">
        <is>
          <t>SI</t>
        </is>
      </c>
      <c r="B120" s="53" t="inlineStr">
        <is>
          <t>SUPPLIER_OR_INTEGRATOR</t>
        </is>
      </c>
      <c r="C120" s="53" t="inlineStr">
        <is>
          <t>Provided by a supplier, OEM representative or system integrator</t>
        </is>
      </c>
      <c r="D120" s="17" t="n"/>
    </row>
    <row r="121" ht="20" customHeight="1">
      <c r="A121" s="56" t="inlineStr">
        <is>
          <t>IR</t>
        </is>
      </c>
      <c r="B121" s="56" t="inlineStr">
        <is>
          <t>INTERNAL_REPOSITORY</t>
        </is>
      </c>
      <c r="C121" s="56" t="inlineStr">
        <is>
          <t>Obtained from an authorised controlled internal repository</t>
        </is>
      </c>
      <c r="D121" s="18" t="n"/>
    </row>
    <row r="122" ht="20" customHeight="1">
      <c r="A122" s="53" t="inlineStr">
        <is>
          <t>OT</t>
        </is>
      </c>
      <c r="B122" s="53" t="inlineStr">
        <is>
          <t>OTHER</t>
        </is>
      </c>
      <c r="C122" s="53" t="inlineStr">
        <is>
          <t>Another documented acquisition route</t>
        </is>
      </c>
      <c r="D122" s="19" t="n"/>
    </row>
    <row r="123" ht="20" customHeight="1">
      <c r="A123" s="20" t="n"/>
      <c r="B123" s="20" t="n"/>
      <c r="C123" s="20" t="n"/>
      <c r="D123" s="20" t="n"/>
    </row>
    <row r="124" ht="20" customHeight="1">
      <c r="A124" s="53" t="inlineStr">
        <is>
          <t>Provenance status</t>
        </is>
      </c>
      <c r="B124" s="54" t="n"/>
      <c r="C124" s="54" t="n"/>
      <c r="D124" s="55" t="n"/>
    </row>
    <row r="125" ht="20" customHeight="1">
      <c r="A125" s="56" t="inlineStr">
        <is>
          <t>Code</t>
        </is>
      </c>
      <c r="B125" s="56" t="inlineStr">
        <is>
          <t>Option value</t>
        </is>
      </c>
      <c r="C125" s="56" t="inlineStr">
        <is>
          <t>Definition</t>
        </is>
      </c>
      <c r="D125" s="56" t="inlineStr">
        <is>
          <t>Notes</t>
        </is>
      </c>
    </row>
    <row r="126" ht="20" customHeight="1">
      <c r="A126" s="53" t="inlineStr">
        <is>
          <t>OO</t>
        </is>
      </c>
      <c r="B126" s="53" t="inlineStr">
        <is>
          <t>OFFICIAL_ORIGINAL</t>
        </is>
      </c>
      <c r="C126" s="53" t="inlineStr">
        <is>
          <t>Direct official original or issuer-controlled copy</t>
        </is>
      </c>
      <c r="D126" s="17" t="n"/>
    </row>
    <row r="127" ht="20" customHeight="1">
      <c r="A127" s="56" t="inlineStr">
        <is>
          <t>AC</t>
        </is>
      </c>
      <c r="B127" s="56" t="inlineStr">
        <is>
          <t>AUTHORISED_COPY</t>
        </is>
      </c>
      <c r="C127" s="56" t="inlineStr">
        <is>
          <t>Copy confirmed by the issuer or an authorised responsible party</t>
        </is>
      </c>
      <c r="D127" s="18" t="n"/>
    </row>
    <row r="128" ht="20" customHeight="1">
      <c r="A128" s="53" t="inlineStr">
        <is>
          <t>CC</t>
        </is>
      </c>
      <c r="B128" s="53" t="inlineStr">
        <is>
          <t>CLIENT_PROVIDED_COPY</t>
        </is>
      </c>
      <c r="C128" s="53" t="inlineStr">
        <is>
          <t>Client-provided copy with provenance recorded but authority still assessed separately</t>
        </is>
      </c>
      <c r="D128" s="17" t="n"/>
    </row>
    <row r="129" ht="20" customHeight="1">
      <c r="A129" s="56" t="inlineStr">
        <is>
          <t>UV</t>
        </is>
      </c>
      <c r="B129" s="56" t="inlineStr">
        <is>
          <t>UNVERIFIED</t>
        </is>
      </c>
      <c r="C129" s="56" t="inlineStr">
        <is>
          <t>Authenticity, completeness or authorisation has not been confirmed</t>
        </is>
      </c>
      <c r="D129" s="21" t="n"/>
    </row>
    <row r="130" ht="20" customHeight="1">
      <c r="A130" s="16" t="n"/>
      <c r="B130" s="16" t="n"/>
      <c r="C130" s="16" t="n"/>
      <c r="D130" s="16" t="n"/>
    </row>
    <row r="131" ht="20" customHeight="1">
      <c r="A131" s="56" t="inlineStr">
        <is>
          <t>Update model</t>
        </is>
      </c>
      <c r="B131" s="54" t="n"/>
      <c r="C131" s="54" t="n"/>
      <c r="D131" s="55" t="n"/>
    </row>
    <row r="132" ht="20" customHeight="1">
      <c r="A132" s="53" t="inlineStr">
        <is>
          <t>Code</t>
        </is>
      </c>
      <c r="B132" s="53" t="inlineStr">
        <is>
          <t>Option value</t>
        </is>
      </c>
      <c r="C132" s="53" t="inlineStr">
        <is>
          <t>Definition</t>
        </is>
      </c>
      <c r="D132" s="53" t="inlineStr">
        <is>
          <t>Notes</t>
        </is>
      </c>
    </row>
    <row r="133" ht="20" customHeight="1">
      <c r="A133" s="56" t="inlineStr">
        <is>
          <t>VE</t>
        </is>
      </c>
      <c r="B133" s="56" t="inlineStr">
        <is>
          <t>VERSIONED</t>
        </is>
      </c>
      <c r="C133" s="56" t="inlineStr">
        <is>
          <t>Issuer publishes identifiable versions or revisions</t>
        </is>
      </c>
      <c r="D133" s="18" t="n"/>
    </row>
    <row r="134" ht="20" customHeight="1">
      <c r="A134" s="53" t="inlineStr">
        <is>
          <t>RO</t>
        </is>
      </c>
      <c r="B134" s="53" t="inlineStr">
        <is>
          <t>ROLLING</t>
        </is>
      </c>
      <c r="C134" s="53" t="inlineStr">
        <is>
          <t>Issuer maintains content without a formal version number</t>
        </is>
      </c>
      <c r="D134" s="17" t="n"/>
    </row>
    <row r="135" ht="20" customHeight="1">
      <c r="A135" s="56" t="inlineStr">
        <is>
          <t>UN</t>
        </is>
      </c>
      <c r="B135" s="56" t="inlineStr">
        <is>
          <t>UNKNOWN</t>
        </is>
      </c>
      <c r="C135" s="56" t="inlineStr">
        <is>
          <t>Update pattern has not been confirmed</t>
        </is>
      </c>
      <c r="D135" s="2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19">
    <mergeCell ref="A116:D116"/>
    <mergeCell ref="A53:D53"/>
    <mergeCell ref="A131:D131"/>
    <mergeCell ref="A4:D4"/>
    <mergeCell ref="A38:D38"/>
    <mergeCell ref="A72:D72"/>
    <mergeCell ref="A28:D28"/>
    <mergeCell ref="A44:D44"/>
    <mergeCell ref="A92:D92"/>
    <mergeCell ref="A60:D60"/>
    <mergeCell ref="A98:D98"/>
    <mergeCell ref="A1:D1"/>
    <mergeCell ref="A110:D110"/>
    <mergeCell ref="A78:D78"/>
    <mergeCell ref="A124:D124"/>
    <mergeCell ref="A66:D66"/>
    <mergeCell ref="A2:D2"/>
    <mergeCell ref="A85:D85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02"/>
  <sheetViews>
    <sheetView showGridLines="0" tabSelected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:O1"/>
    </sheetView>
  </sheetViews>
  <sheetFormatPr baseColWidth="10" defaultColWidth="8.83203125" defaultRowHeight="14"/>
  <cols>
    <col width="10" customWidth="1" min="1" max="1"/>
    <col width="14" customWidth="1" min="2" max="2"/>
    <col width="82" customWidth="1" min="3" max="3"/>
    <col width="16" customWidth="1" min="4" max="6"/>
    <col width="24" customWidth="1" min="7" max="11"/>
    <col width="16" customWidth="1" min="12" max="13"/>
    <col width="18" customWidth="1" min="14" max="15"/>
    <col width="22" customWidth="1" min="16" max="16"/>
    <col width="28" customWidth="1" min="17" max="17"/>
    <col width="20" customWidth="1" min="18" max="18"/>
    <col width="24" customWidth="1" min="19" max="19"/>
    <col width="20" customWidth="1" min="20" max="20"/>
    <col width="24" customWidth="1" min="21" max="21"/>
    <col width="20" customWidth="1" min="22" max="22"/>
    <col width="17" customWidth="1" min="23" max="25"/>
    <col width="26" customWidth="1" min="26" max="26"/>
    <col width="28" customWidth="1" min="27" max="27"/>
    <col width="23" customWidth="1" min="28" max="28"/>
    <col width="18" customWidth="1" min="29" max="29"/>
    <col width="12" customWidth="1" min="30" max="34"/>
    <col width="16" customWidth="1" min="35" max="35"/>
    <col width="14" customWidth="1" min="36" max="36"/>
    <col width="19" customWidth="1" min="37" max="37"/>
    <col width="20" customWidth="1" min="38" max="42"/>
    <col width="19" customWidth="1" min="43" max="43"/>
    <col width="26" customWidth="1" min="44" max="45"/>
  </cols>
  <sheetData>
    <row r="1" ht="30" customHeight="1">
      <c r="A1" s="62" t="inlineStr">
        <is>
          <t>PROGRAM-MANAGED | DO NOT EDIT DIRECTLY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5" t="n"/>
      <c r="P1" s="53" t="inlineStr">
        <is>
          <t>HUMAN-GOVERNED | CHANGES APPLIED FROM HUMAN OPERATION DESKTOP</t>
        </is>
      </c>
      <c r="Q1" s="54" t="n"/>
      <c r="R1" s="54" t="n"/>
      <c r="S1" s="54" t="n"/>
      <c r="T1" s="54" t="n"/>
      <c r="U1" s="54" t="n"/>
      <c r="V1" s="54" t="n"/>
      <c r="W1" s="54" t="n"/>
      <c r="X1" s="54" t="n"/>
      <c r="Y1" s="54" t="n"/>
      <c r="Z1" s="54" t="n"/>
      <c r="AA1" s="54" t="n"/>
      <c r="AB1" s="54" t="n"/>
      <c r="AC1" s="54" t="n"/>
      <c r="AD1" s="54" t="n"/>
      <c r="AE1" s="54" t="n"/>
      <c r="AF1" s="54" t="n"/>
      <c r="AG1" s="54" t="n"/>
      <c r="AH1" s="54" t="n"/>
      <c r="AI1" s="54" t="n"/>
      <c r="AJ1" s="54" t="n"/>
      <c r="AK1" s="54" t="n"/>
      <c r="AL1" s="54" t="n"/>
      <c r="AM1" s="54" t="n"/>
      <c r="AN1" s="54" t="n"/>
      <c r="AO1" s="54" t="n"/>
      <c r="AP1" s="54" t="n"/>
      <c r="AQ1" s="54" t="n"/>
      <c r="AR1" s="54" t="n"/>
      <c r="AS1" s="55" t="n"/>
    </row>
    <row r="2" ht="36" customHeight="1">
      <c r="A2" s="96" t="inlineStr">
        <is>
          <t>source_id</t>
        </is>
      </c>
      <c r="B2" s="96" t="inlineStr">
        <is>
          <t>snapshot_id</t>
        </is>
      </c>
      <c r="C2" s="96" t="inlineStr">
        <is>
          <t>stored_filename</t>
        </is>
      </c>
      <c r="D2" s="96" t="inlineStr">
        <is>
          <t>snapshot_status</t>
        </is>
      </c>
      <c r="E2" s="96" t="inlineStr">
        <is>
          <t>selection_status</t>
        </is>
      </c>
      <c r="F2" s="96" t="inlineStr">
        <is>
          <t>download_status</t>
        </is>
      </c>
      <c r="G2" s="96" t="inlineStr">
        <is>
          <t>last_attempt_at</t>
        </is>
      </c>
      <c r="H2" s="96" t="inlineStr">
        <is>
          <t>last_success_at</t>
        </is>
      </c>
      <c r="I2" s="96" t="inlineStr">
        <is>
          <t>content_change</t>
        </is>
      </c>
      <c r="J2" s="96" t="inlineStr">
        <is>
          <t>current_origin</t>
        </is>
      </c>
      <c r="K2" s="96" t="inlineStr">
        <is>
          <t>current_snapshot_date</t>
        </is>
      </c>
      <c r="L2" s="96" t="inlineStr">
        <is>
          <t>failure_stage</t>
        </is>
      </c>
      <c r="M2" s="96" t="inlineStr">
        <is>
          <t>failure_reason</t>
        </is>
      </c>
      <c r="N2" s="96" t="inlineStr">
        <is>
          <t>needs_human_action</t>
        </is>
      </c>
      <c r="O2" s="96" t="inlineStr">
        <is>
          <t>content_hash</t>
        </is>
      </c>
      <c r="P2" s="96" t="inlineStr">
        <is>
          <t>source_title</t>
        </is>
      </c>
      <c r="Q2" s="96" t="inlineStr">
        <is>
          <t>official_url</t>
        </is>
      </c>
      <c r="R2" s="96" t="inlineStr">
        <is>
          <t>retrieval_url</t>
        </is>
      </c>
      <c r="S2" s="96" t="inlineStr">
        <is>
          <t>folder_code</t>
        </is>
      </c>
      <c r="T2" s="96" t="inlineStr">
        <is>
          <t>file_format</t>
        </is>
      </c>
      <c r="U2" s="96" t="inlineStr">
        <is>
          <t>issuer</t>
        </is>
      </c>
      <c r="V2" s="96" t="inlineStr">
        <is>
          <t>jurisdiction</t>
        </is>
      </c>
      <c r="W2" s="96" t="inlineStr">
        <is>
          <t>authoritative_language</t>
        </is>
      </c>
      <c r="X2" s="96" t="inlineStr">
        <is>
          <t>version</t>
        </is>
      </c>
      <c r="Y2" s="96" t="inlineStr">
        <is>
          <t>effective_date</t>
        </is>
      </c>
      <c r="Z2" s="96" t="inlineStr">
        <is>
          <t>source_family</t>
        </is>
      </c>
      <c r="AA2" s="96" t="inlineStr">
        <is>
          <t>document_type</t>
        </is>
      </c>
      <c r="AB2" s="96" t="inlineStr">
        <is>
          <t>requirement_role</t>
        </is>
      </c>
      <c r="AC2" s="96" t="inlineStr">
        <is>
          <t>inclusion_rationale</t>
        </is>
      </c>
      <c r="AD2" s="96" t="inlineStr">
        <is>
          <t>authority_quality</t>
        </is>
      </c>
      <c r="AE2" s="96" t="inlineStr">
        <is>
          <t>scope_relevance</t>
        </is>
      </c>
      <c r="AF2" s="96" t="inlineStr">
        <is>
          <t>version_currency</t>
        </is>
      </c>
      <c r="AG2" s="96" t="inlineStr">
        <is>
          <t>traceability</t>
        </is>
      </c>
      <c r="AH2" s="96" t="inlineStr">
        <is>
          <t>access_permission</t>
        </is>
      </c>
      <c r="AI2" s="96" t="inlineStr">
        <is>
          <t>automation_readiness</t>
        </is>
      </c>
      <c r="AJ2" s="96" t="inlineStr">
        <is>
          <t>operator_selection_decision</t>
        </is>
      </c>
      <c r="AK2" s="96" t="inlineStr">
        <is>
          <t>manual_update_date</t>
        </is>
      </c>
      <c r="AL2" s="96" t="inlineStr">
        <is>
          <t>manual_updated_by</t>
        </is>
      </c>
      <c r="AM2" s="96" t="inlineStr">
        <is>
          <t>source_status</t>
        </is>
      </c>
      <c r="AN2" s="96" t="inlineStr">
        <is>
          <t>primary_source_id</t>
        </is>
      </c>
      <c r="AO2" s="96" t="inlineStr">
        <is>
          <t>notes</t>
        </is>
      </c>
      <c r="AP2" s="96" t="inlineStr">
        <is>
          <t>acquisition_channel</t>
        </is>
      </c>
      <c r="AQ2" s="96" t="inlineStr">
        <is>
          <t>provenance_status</t>
        </is>
      </c>
      <c r="AR2" s="96" t="inlineStr">
        <is>
          <t>update_model</t>
        </is>
      </c>
      <c r="AS2" s="96" t="inlineStr">
        <is>
          <t>applicability_reference</t>
        </is>
      </c>
    </row>
    <row r="3" ht="20" customHeight="1">
      <c r="A3" s="33" t="inlineStr">
        <is>
          <t>CS901</t>
        </is>
      </c>
      <c r="B3" s="33" t="inlineStr">
        <is>
          <t>CS901-001</t>
        </is>
      </c>
      <c r="C3" s="97" t="inlineStr">
        <is>
          <t>CS901-001_Synthetic.pdf</t>
        </is>
      </c>
      <c r="D3" s="56" t="inlineStr">
        <is>
          <t>STORED</t>
        </is>
      </c>
      <c r="E3" s="56" t="str">
        <f>IF(A3="","",IF(OR(AJ3="EXCLUDE",COUNTIF(AD3:AH3,"LOW")&gt;0),"EXCLUDE",IF(OR(AJ3&lt;&gt;"INCLUDE",F3&lt;&gt;"SUCCESS",D3&lt;&gt;"STORED",U3="",AP3="",AQ3="",AQ3="UNVERIFIED",AND(AP3="OFFICIAL_WEBSITE",Q3=""),AND(OR(AA3="Equipment manual / OEM instruction",AB3="Asset-specific normative"),OR(Z3&lt;&gt;"Manufacturer / supplier",AS3="",AC3=""))),"PENDING",IF(COUNTIF(AD3:AH3,"HIGH")=5,"INCLUDE","PENDING"))))</f>
        <v>INCLUDE</v>
      </c>
      <c r="F3" s="56" t="inlineStr">
        <is>
          <t>SUCCESS</t>
        </is>
      </c>
      <c r="G3" s="72" t="n"/>
      <c r="H3" s="72" t="n"/>
      <c r="I3" s="56" t="inlineStr">
        <is>
          <t>UNKNOWN</t>
        </is>
      </c>
      <c r="J3" s="56" t="inlineStr">
        <is>
          <t>NONE</t>
        </is>
      </c>
      <c r="K3" s="73" t="str">
        <f>IF(A3="","",IF(J3="AUTO",H3,IF(J3="MANUAL",AK3,"")))</f>
        <v/>
      </c>
      <c r="L3" s="56" t="inlineStr">
        <is>
          <t>NONE</t>
        </is>
      </c>
      <c r="M3" s="2" t="n"/>
      <c r="N3" s="56" t="str">
        <f>IF(A3="","",IF(COUNTIFS('Human Operation Desktop'!$A$3:$A$502,A3,'Human Operation Desktop'!$I$3:$I$502,"&lt;&gt;APPLIED",'Human Operation Desktop'!$I$3:$I$502,"&lt;&gt;REJECTED")&gt;0,"YES","NO"))</f>
        <v>NO</v>
      </c>
      <c r="O3" s="56" t="n"/>
      <c r="P3" s="56" t="inlineStr">
        <is>
          <t>Synthetic test source 1</t>
        </is>
      </c>
      <c r="Q3" s="56" t="inlineStr">
        <is>
          <t>https://example.invalid/source</t>
        </is>
      </c>
      <c r="R3" s="56" t="inlineStr">
        <is>
          <t>https://example.invalid/source</t>
        </is>
      </c>
      <c r="S3" s="56" t="inlineStr">
        <is>
          <t>C_Certification_Scheme</t>
        </is>
      </c>
      <c r="T3" s="56" t="inlineStr">
        <is>
          <t>pdf</t>
        </is>
      </c>
      <c r="U3" s="56" t="inlineStr">
        <is>
          <t>Test issuer</t>
        </is>
      </c>
      <c r="V3" s="56" t="inlineStr">
        <is>
          <t>Test jurisdiction</t>
        </is>
      </c>
      <c r="W3" s="56" t="inlineStr">
        <is>
          <t>English</t>
        </is>
      </c>
      <c r="X3" s="3" t="n"/>
      <c r="Y3" s="3" t="n"/>
      <c r="Z3" s="56" t="inlineStr">
        <is>
          <t>Test source</t>
        </is>
      </c>
      <c r="AA3" s="56" t="inlineStr">
        <is>
          <t>Test document</t>
        </is>
      </c>
      <c r="AB3" s="56" t="inlineStr">
        <is>
          <t>Primary normative</t>
        </is>
      </c>
      <c r="AC3" s="56" t="n"/>
      <c r="AD3" s="56" t="inlineStr">
        <is>
          <t>HIGH</t>
        </is>
      </c>
      <c r="AE3" s="56" t="inlineStr">
        <is>
          <t>HIGH</t>
        </is>
      </c>
      <c r="AF3" s="56" t="inlineStr">
        <is>
          <t>HIGH</t>
        </is>
      </c>
      <c r="AG3" s="56" t="inlineStr">
        <is>
          <t>HIGH</t>
        </is>
      </c>
      <c r="AH3" s="56" t="inlineStr">
        <is>
          <t>HIGH</t>
        </is>
      </c>
      <c r="AI3" s="56" t="n"/>
      <c r="AJ3" s="56" t="inlineStr">
        <is>
          <t>INCLUDE</t>
        </is>
      </c>
      <c r="AK3" s="76" t="n"/>
      <c r="AL3" s="3" t="n"/>
      <c r="AM3" s="56" t="inlineStr">
        <is>
          <t>CURRENT</t>
        </is>
      </c>
      <c r="AN3" s="3" t="n"/>
      <c r="AO3" s="56" t="n"/>
      <c r="AP3" s="56" t="inlineStr">
        <is>
          <t>OFFICIAL_WEBSITE</t>
        </is>
      </c>
      <c r="AQ3" s="56" t="inlineStr">
        <is>
          <t>OFFICIAL_ORIGINAL</t>
        </is>
      </c>
      <c r="AR3" s="56" t="inlineStr">
        <is>
          <t>VERSIONED</t>
        </is>
      </c>
      <c r="AS3" s="3" t="n"/>
    </row>
    <row r="4" ht="47" customHeight="1">
      <c r="A4" s="36" t="inlineStr">
        <is>
          <t>CS902</t>
        </is>
      </c>
      <c r="B4" s="36" t="inlineStr">
        <is>
          <t>CS902-001</t>
        </is>
      </c>
      <c r="C4" s="98" t="inlineStr">
        <is>
          <t>CS902-001_Synthetic.pdf</t>
        </is>
      </c>
      <c r="D4" s="53" t="inlineStr">
        <is>
          <t>NOT_COLLECTED</t>
        </is>
      </c>
      <c r="E4" s="53" t="str">
        <f>IF(A4="","",IF(OR(AJ4="EXCLUDE",COUNTIF(AD4:AH4,"LOW")&gt;0),"EXCLUDE",IF(OR(AJ4&lt;&gt;"INCLUDE",F4&lt;&gt;"SUCCESS",D4&lt;&gt;"STORED",U4="",AP4="",AQ4="",AQ4="UNVERIFIED",AND(AP4="OFFICIAL_WEBSITE",Q4=""),AND(OR(AA4="Equipment manual / OEM instruction",AB4="Asset-specific normative"),OR(Z4&lt;&gt;"Manufacturer / supplier",AS4="",AC4=""))),"PENDING",IF(COUNTIF(AD4:AH4,"HIGH")=5,"INCLUDE","PENDING"))))</f>
        <v>PENDING</v>
      </c>
      <c r="F4" s="53" t="inlineStr">
        <is>
          <t>NOT_RUN</t>
        </is>
      </c>
      <c r="G4" s="74" t="n"/>
      <c r="H4" s="74" t="n"/>
      <c r="I4" s="53" t="inlineStr">
        <is>
          <t>UNKNOWN</t>
        </is>
      </c>
      <c r="J4" s="53" t="inlineStr">
        <is>
          <t>NONE</t>
        </is>
      </c>
      <c r="K4" s="75" t="str">
        <f>IF(A4="","",IF(J4="AUTO",H4,IF(J4="MANUAL",AK4,"")))</f>
        <v/>
      </c>
      <c r="L4" s="53" t="inlineStr">
        <is>
          <t>NONE</t>
        </is>
      </c>
      <c r="M4" s="2" t="n"/>
      <c r="N4" s="53" t="str">
        <f>IF(A4="","",IF(COUNTIFS('Human Operation Desktop'!$A$3:$A$502,A4,'Human Operation Desktop'!$I$3:$I$502,"&lt;&gt;APPLIED",'Human Operation Desktop'!$I$3:$I$502,"&lt;&gt;REJECTED")&gt;0,"YES","NO"))</f>
        <v>NO</v>
      </c>
      <c r="O4" s="53" t="n"/>
      <c r="P4" s="53" t="inlineStr">
        <is>
          <t>Synthetic test source 2</t>
        </is>
      </c>
      <c r="Q4" s="53" t="inlineStr">
        <is>
          <t>https://example.invalid/source</t>
        </is>
      </c>
      <c r="R4" s="53" t="inlineStr">
        <is>
          <t>https://example.invalid/source</t>
        </is>
      </c>
      <c r="S4" s="53" t="inlineStr">
        <is>
          <t>C_Certification_Scheme</t>
        </is>
      </c>
      <c r="T4" s="53" t="inlineStr">
        <is>
          <t>pdf</t>
        </is>
      </c>
      <c r="U4" s="53" t="inlineStr">
        <is>
          <t>Test issuer</t>
        </is>
      </c>
      <c r="V4" s="53" t="inlineStr">
        <is>
          <t>Test jurisdiction</t>
        </is>
      </c>
      <c r="W4" s="53" t="inlineStr">
        <is>
          <t>English</t>
        </is>
      </c>
      <c r="X4" s="3" t="n"/>
      <c r="Y4" s="3" t="n"/>
      <c r="Z4" s="53" t="inlineStr">
        <is>
          <t>Test source</t>
        </is>
      </c>
      <c r="AA4" s="53" t="inlineStr">
        <is>
          <t>Test document</t>
        </is>
      </c>
      <c r="AB4" s="53" t="inlineStr">
        <is>
          <t>Primary normative</t>
        </is>
      </c>
      <c r="AC4" s="53" t="n"/>
      <c r="AD4" s="53" t="inlineStr">
        <is>
          <t>HIGH</t>
        </is>
      </c>
      <c r="AE4" s="53" t="inlineStr">
        <is>
          <t>HIGH</t>
        </is>
      </c>
      <c r="AF4" s="53" t="inlineStr">
        <is>
          <t>HIGH</t>
        </is>
      </c>
      <c r="AG4" s="53" t="inlineStr">
        <is>
          <t>HIGH</t>
        </is>
      </c>
      <c r="AH4" s="53" t="inlineStr">
        <is>
          <t>HIGH</t>
        </is>
      </c>
      <c r="AI4" s="53" t="n"/>
      <c r="AJ4" s="53" t="inlineStr">
        <is>
          <t>PENDING</t>
        </is>
      </c>
      <c r="AK4" s="76" t="n"/>
      <c r="AL4" s="3" t="n"/>
      <c r="AM4" s="53" t="inlineStr">
        <is>
          <t>CURRENT</t>
        </is>
      </c>
      <c r="AN4" s="3" t="n"/>
      <c r="AO4" s="53" t="n"/>
      <c r="AP4" s="53" t="inlineStr">
        <is>
          <t>OFFICIAL_WEBSITE</t>
        </is>
      </c>
      <c r="AQ4" s="53" t="inlineStr">
        <is>
          <t>OFFICIAL_ORIGINAL</t>
        </is>
      </c>
      <c r="AR4" s="53" t="inlineStr">
        <is>
          <t>VERSIONED</t>
        </is>
      </c>
      <c r="AS4" s="3" t="n"/>
    </row>
    <row r="5" ht="47" customHeight="1">
      <c r="A5" s="33" t="n"/>
      <c r="B5" s="33" t="n"/>
      <c r="C5" s="97" t="n"/>
      <c r="D5" s="56" t="n"/>
      <c r="E5" s="56" t="str">
        <f>IF(A5="","",IF(OR(AJ5="EXCLUDE",COUNTIF(AD5:AH5,"LOW")&gt;0),"EXCLUDE",IF(OR(AJ5&lt;&gt;"INCLUDE",F5&lt;&gt;"SUCCESS",D5&lt;&gt;"STORED",U5="",AP5="",AQ5="",AQ5="UNVERIFIED",AND(AP5="OFFICIAL_WEBSITE",Q5=""),AND(OR(AA5="Equipment manual / OEM instruction",AB5="Asset-specific normative"),OR(Z5&lt;&gt;"Manufacturer / supplier",AS5="",AC5=""))),"PENDING",IF(COUNTIF(AD5:AH5,"HIGH")=5,"INCLUDE","PENDING"))))</f>
        <v/>
      </c>
      <c r="F5" s="56" t="n"/>
      <c r="G5" s="72" t="n"/>
      <c r="H5" s="72" t="n"/>
      <c r="I5" s="56" t="n"/>
      <c r="J5" s="56" t="n"/>
      <c r="K5" s="73" t="str">
        <f>IF(A5="","",IF(J5="AUTO",H5,IF(J5="MANUAL",AK5,"")))</f>
        <v/>
      </c>
      <c r="L5" s="56" t="n"/>
      <c r="M5" s="2" t="n"/>
      <c r="N5" s="56" t="str">
        <f>IF(A5="","",IF(COUNTIFS('Human Operation Desktop'!$A$3:$A$502,A5,'Human Operation Desktop'!$I$3:$I$502,"&lt;&gt;APPLIED",'Human Operation Desktop'!$I$3:$I$502,"&lt;&gt;REJECTED")&gt;0,"YES","NO"))</f>
        <v/>
      </c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3" t="n"/>
      <c r="Y5" s="3" t="n"/>
      <c r="Z5" s="56" t="n"/>
      <c r="AA5" s="56" t="n"/>
      <c r="AB5" s="56" t="n"/>
      <c r="AC5" s="56" t="n"/>
      <c r="AD5" s="56" t="n"/>
      <c r="AE5" s="56" t="n"/>
      <c r="AF5" s="56" t="n"/>
      <c r="AG5" s="56" t="n"/>
      <c r="AH5" s="56" t="n"/>
      <c r="AI5" s="56" t="n"/>
      <c r="AJ5" s="56" t="n"/>
      <c r="AK5" s="76" t="n"/>
      <c r="AL5" s="3" t="n"/>
      <c r="AM5" s="56" t="n"/>
      <c r="AN5" s="3" t="n"/>
      <c r="AO5" s="56" t="n"/>
      <c r="AP5" s="56" t="n"/>
      <c r="AQ5" s="56" t="n"/>
      <c r="AR5" s="56" t="n"/>
      <c r="AS5" s="3" t="n"/>
    </row>
    <row r="6" ht="47" customHeight="1">
      <c r="A6" s="36" t="n"/>
      <c r="B6" s="36" t="n"/>
      <c r="C6" s="98" t="n"/>
      <c r="D6" s="53" t="n"/>
      <c r="E6" s="53" t="str">
        <f>IF(A6="","",IF(OR(AJ6="EXCLUDE",COUNTIF(AD6:AH6,"LOW")&gt;0),"EXCLUDE",IF(OR(AJ6&lt;&gt;"INCLUDE",F6&lt;&gt;"SUCCESS",D6&lt;&gt;"STORED",U6="",AP6="",AQ6="",AQ6="UNVERIFIED",AND(AP6="OFFICIAL_WEBSITE",Q6=""),AND(OR(AA6="Equipment manual / OEM instruction",AB6="Asset-specific normative"),OR(Z6&lt;&gt;"Manufacturer / supplier",AS6="",AC6=""))),"PENDING",IF(COUNTIF(AD6:AH6,"HIGH")=5,"INCLUDE","PENDING"))))</f>
        <v/>
      </c>
      <c r="F6" s="53" t="n"/>
      <c r="G6" s="74" t="n"/>
      <c r="H6" s="74" t="n"/>
      <c r="I6" s="53" t="n"/>
      <c r="J6" s="53" t="n"/>
      <c r="K6" s="75" t="str">
        <f>IF(A6="","",IF(J6="AUTO",H6,IF(J6="MANUAL",AK6,"")))</f>
        <v/>
      </c>
      <c r="L6" s="53" t="n"/>
      <c r="M6" s="2" t="n"/>
      <c r="N6" s="53" t="str">
        <f>IF(A6="","",IF(COUNTIFS('Human Operation Desktop'!$A$3:$A$502,A6,'Human Operation Desktop'!$I$3:$I$502,"&lt;&gt;APPLIED",'Human Operation Desktop'!$I$3:$I$502,"&lt;&gt;REJECTED")&gt;0,"YES","NO"))</f>
        <v/>
      </c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3" t="n"/>
      <c r="Y6" s="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76" t="n"/>
      <c r="AL6" s="3" t="n"/>
      <c r="AM6" s="53" t="n"/>
      <c r="AN6" s="3" t="n"/>
      <c r="AO6" s="53" t="n"/>
      <c r="AP6" s="53" t="n"/>
      <c r="AQ6" s="53" t="n"/>
      <c r="AR6" s="53" t="n"/>
      <c r="AS6" s="3" t="n"/>
    </row>
    <row r="7" ht="20" customHeight="1">
      <c r="A7" s="33" t="n"/>
      <c r="B7" s="33" t="n"/>
      <c r="C7" s="97" t="n"/>
      <c r="D7" s="56" t="n"/>
      <c r="E7" s="56" t="str">
        <f>IF(A7="","",IF(OR(AJ7="EXCLUDE",COUNTIF(AD7:AH7,"LOW")&gt;0),"EXCLUDE",IF(OR(AJ7&lt;&gt;"INCLUDE",F7&lt;&gt;"SUCCESS",D7&lt;&gt;"STORED",U7="",AP7="",AQ7="",AQ7="UNVERIFIED",AND(AP7="OFFICIAL_WEBSITE",Q7=""),AND(OR(AA7="Equipment manual / OEM instruction",AB7="Asset-specific normative"),OR(Z7&lt;&gt;"Manufacturer / supplier",AS7="",AC7=""))),"PENDING",IF(COUNTIF(AD7:AH7,"HIGH")=5,"INCLUDE","PENDING"))))</f>
        <v/>
      </c>
      <c r="F7" s="56" t="n"/>
      <c r="G7" s="72" t="n"/>
      <c r="H7" s="72" t="n"/>
      <c r="I7" s="56" t="n"/>
      <c r="J7" s="56" t="n"/>
      <c r="K7" s="73" t="str">
        <f>IF(A7="","",IF(J7="AUTO",H7,IF(J7="MANUAL",AK7,"")))</f>
        <v/>
      </c>
      <c r="L7" s="56" t="n"/>
      <c r="M7" s="2" t="n"/>
      <c r="N7" s="56" t="str">
        <f>IF(A7="","",IF(COUNTIFS('Human Operation Desktop'!$A$3:$A$502,A7,'Human Operation Desktop'!$I$3:$I$502,"&lt;&gt;APPLIED",'Human Operation Desktop'!$I$3:$I$502,"&lt;&gt;REJECTED")&gt;0,"YES","NO"))</f>
        <v/>
      </c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3" t="n"/>
      <c r="Y7" s="3" t="n"/>
      <c r="Z7" s="56" t="n"/>
      <c r="AA7" s="56" t="n"/>
      <c r="AB7" s="56" t="n"/>
      <c r="AC7" s="56" t="n"/>
      <c r="AD7" s="56" t="n"/>
      <c r="AE7" s="56" t="n"/>
      <c r="AF7" s="56" t="n"/>
      <c r="AG7" s="56" t="n"/>
      <c r="AH7" s="56" t="n"/>
      <c r="AI7" s="56" t="n"/>
      <c r="AJ7" s="56" t="n"/>
      <c r="AK7" s="76" t="n"/>
      <c r="AL7" s="3" t="n"/>
      <c r="AM7" s="56" t="n"/>
      <c r="AN7" s="3" t="n"/>
      <c r="AO7" s="56" t="n"/>
      <c r="AP7" s="56" t="n"/>
      <c r="AQ7" s="56" t="n"/>
      <c r="AR7" s="56" t="n"/>
      <c r="AS7" s="3" t="n"/>
    </row>
    <row r="8" ht="20" customHeight="1">
      <c r="A8" s="36" t="n"/>
      <c r="B8" s="36" t="n"/>
      <c r="C8" s="98" t="n"/>
      <c r="D8" s="53" t="n"/>
      <c r="E8" s="53" t="str">
        <f>IF(A8="","",IF(OR(AJ8="EXCLUDE",COUNTIF(AD8:AH8,"LOW")&gt;0),"EXCLUDE",IF(OR(AJ8&lt;&gt;"INCLUDE",F8&lt;&gt;"SUCCESS",D8&lt;&gt;"STORED",U8="",AP8="",AQ8="",AQ8="UNVERIFIED",AND(AP8="OFFICIAL_WEBSITE",Q8=""),AND(OR(AA8="Equipment manual / OEM instruction",AB8="Asset-specific normative"),OR(Z8&lt;&gt;"Manufacturer / supplier",AS8="",AC8=""))),"PENDING",IF(COUNTIF(AD8:AH8,"HIGH")=5,"INCLUDE","PENDING"))))</f>
        <v/>
      </c>
      <c r="F8" s="53" t="n"/>
      <c r="G8" s="74" t="n"/>
      <c r="H8" s="74" t="n"/>
      <c r="I8" s="53" t="n"/>
      <c r="J8" s="53" t="n"/>
      <c r="K8" s="75" t="str">
        <f>IF(A8="","",IF(J8="AUTO",H8,IF(J8="MANUAL",AK8,"")))</f>
        <v/>
      </c>
      <c r="L8" s="53" t="n"/>
      <c r="M8" s="2" t="n"/>
      <c r="N8" s="53" t="str">
        <f>IF(A8="","",IF(COUNTIFS('Human Operation Desktop'!$A$3:$A$502,A8,'Human Operation Desktop'!$I$3:$I$502,"&lt;&gt;APPLIED",'Human Operation Desktop'!$I$3:$I$502,"&lt;&gt;REJECTED")&gt;0,"YES","NO"))</f>
        <v/>
      </c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3" t="n"/>
      <c r="Y8" s="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76" t="n"/>
      <c r="AL8" s="3" t="n"/>
      <c r="AM8" s="53" t="n"/>
      <c r="AN8" s="3" t="n"/>
      <c r="AO8" s="53" t="n"/>
      <c r="AP8" s="53" t="n"/>
      <c r="AQ8" s="53" t="n"/>
      <c r="AR8" s="53" t="n"/>
      <c r="AS8" s="3" t="n"/>
    </row>
    <row r="9" ht="20" customHeight="1">
      <c r="A9" s="33" t="n"/>
      <c r="B9" s="33" t="n"/>
      <c r="C9" s="97" t="n"/>
      <c r="D9" s="56" t="n"/>
      <c r="E9" s="56" t="str">
        <f>IF(A9="","",IF(OR(AJ9="EXCLUDE",COUNTIF(AD9:AH9,"LOW")&gt;0),"EXCLUDE",IF(OR(AJ9&lt;&gt;"INCLUDE",F9&lt;&gt;"SUCCESS",D9&lt;&gt;"STORED",U9="",AP9="",AQ9="",AQ9="UNVERIFIED",AND(AP9="OFFICIAL_WEBSITE",Q9=""),AND(OR(AA9="Equipment manual / OEM instruction",AB9="Asset-specific normative"),OR(Z9&lt;&gt;"Manufacturer / supplier",AS9="",AC9=""))),"PENDING",IF(COUNTIF(AD9:AH9,"HIGH")=5,"INCLUDE","PENDING"))))</f>
        <v/>
      </c>
      <c r="F9" s="56" t="n"/>
      <c r="G9" s="72" t="n"/>
      <c r="H9" s="72" t="n"/>
      <c r="I9" s="56" t="n"/>
      <c r="J9" s="56" t="n"/>
      <c r="K9" s="73" t="str">
        <f>IF(A9="","",IF(J9="AUTO",H9,IF(J9="MANUAL",AK9,"")))</f>
        <v/>
      </c>
      <c r="L9" s="56" t="n"/>
      <c r="M9" s="2" t="n"/>
      <c r="N9" s="56" t="str">
        <f>IF(A9="","",IF(COUNTIFS('Human Operation Desktop'!$A$3:$A$502,A9,'Human Operation Desktop'!$I$3:$I$502,"&lt;&gt;APPLIED",'Human Operation Desktop'!$I$3:$I$502,"&lt;&gt;REJECTED")&gt;0,"YES","NO"))</f>
        <v/>
      </c>
      <c r="O9" s="56" t="n"/>
      <c r="P9" s="56" t="n"/>
      <c r="Q9" s="56" t="n"/>
      <c r="R9" s="56" t="n"/>
      <c r="S9" s="56" t="n"/>
      <c r="T9" s="56" t="n"/>
      <c r="U9" s="56" t="n"/>
      <c r="V9" s="56" t="n"/>
      <c r="W9" s="56" t="n"/>
      <c r="X9" s="3" t="n"/>
      <c r="Y9" s="3" t="n"/>
      <c r="Z9" s="56" t="n"/>
      <c r="AA9" s="56" t="n"/>
      <c r="AB9" s="56" t="n"/>
      <c r="AC9" s="56" t="n"/>
      <c r="AD9" s="56" t="n"/>
      <c r="AE9" s="56" t="n"/>
      <c r="AF9" s="56" t="n"/>
      <c r="AG9" s="56" t="n"/>
      <c r="AH9" s="56" t="n"/>
      <c r="AI9" s="56" t="n"/>
      <c r="AJ9" s="56" t="n"/>
      <c r="AK9" s="76" t="n"/>
      <c r="AL9" s="3" t="n"/>
      <c r="AM9" s="56" t="n"/>
      <c r="AN9" s="3" t="n"/>
      <c r="AO9" s="56" t="n"/>
      <c r="AP9" s="56" t="n"/>
      <c r="AQ9" s="56" t="n"/>
      <c r="AR9" s="56" t="n"/>
      <c r="AS9" s="3" t="n"/>
    </row>
    <row r="10" ht="20" customHeight="1">
      <c r="A10" s="36" t="n"/>
      <c r="B10" s="36" t="n"/>
      <c r="C10" s="98" t="n"/>
      <c r="D10" s="53" t="n"/>
      <c r="E10" s="53" t="str">
        <f>IF(A10="","",IF(OR(AJ10="EXCLUDE",COUNTIF(AD10:AH10,"LOW")&gt;0),"EXCLUDE",IF(OR(AJ10&lt;&gt;"INCLUDE",F10&lt;&gt;"SUCCESS",D10&lt;&gt;"STORED",U10="",AP10="",AQ10="",AQ10="UNVERIFIED",AND(AP10="OFFICIAL_WEBSITE",Q10=""),AND(OR(AA10="Equipment manual / OEM instruction",AB10="Asset-specific normative"),OR(Z10&lt;&gt;"Manufacturer / supplier",AS10="",AC10=""))),"PENDING",IF(COUNTIF(AD10:AH10,"HIGH")=5,"INCLUDE","PENDING"))))</f>
        <v/>
      </c>
      <c r="F10" s="53" t="n"/>
      <c r="G10" s="74" t="n"/>
      <c r="H10" s="74" t="n"/>
      <c r="I10" s="53" t="n"/>
      <c r="J10" s="53" t="n"/>
      <c r="K10" s="75" t="str">
        <f>IF(A10="","",IF(J10="AUTO",H10,IF(J10="MANUAL",AK10,"")))</f>
        <v/>
      </c>
      <c r="L10" s="53" t="n"/>
      <c r="M10" s="2" t="n"/>
      <c r="N10" s="53" t="str">
        <f>IF(A10="","",IF(COUNTIFS('Human Operation Desktop'!$A$3:$A$502,A10,'Human Operation Desktop'!$I$3:$I$502,"&lt;&gt;APPLIED",'Human Operation Desktop'!$I$3:$I$502,"&lt;&gt;REJECTED")&gt;0,"YES","NO"))</f>
        <v/>
      </c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3" t="n"/>
      <c r="Y10" s="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76" t="n"/>
      <c r="AL10" s="3" t="n"/>
      <c r="AM10" s="53" t="n"/>
      <c r="AN10" s="3" t="n"/>
      <c r="AO10" s="53" t="n"/>
      <c r="AP10" s="53" t="n"/>
      <c r="AQ10" s="53" t="n"/>
      <c r="AR10" s="53" t="n"/>
      <c r="AS10" s="3" t="n"/>
    </row>
    <row r="11" ht="20" customHeight="1">
      <c r="A11" s="33" t="n"/>
      <c r="B11" s="33" t="n"/>
      <c r="C11" s="97" t="n"/>
      <c r="D11" s="56" t="n"/>
      <c r="E11" s="56" t="str">
        <f>IF(A11="","",IF(OR(AJ11="EXCLUDE",COUNTIF(AD11:AH11,"LOW")&gt;0),"EXCLUDE",IF(OR(AJ11&lt;&gt;"INCLUDE",F11&lt;&gt;"SUCCESS",D11&lt;&gt;"STORED",U11="",AP11="",AQ11="",AQ11="UNVERIFIED",AND(AP11="OFFICIAL_WEBSITE",Q11=""),AND(OR(AA11="Equipment manual / OEM instruction",AB11="Asset-specific normative"),OR(Z11&lt;&gt;"Manufacturer / supplier",AS11="",AC11=""))),"PENDING",IF(COUNTIF(AD11:AH11,"HIGH")=5,"INCLUDE","PENDING"))))</f>
        <v/>
      </c>
      <c r="F11" s="56" t="n"/>
      <c r="G11" s="72" t="n"/>
      <c r="H11" s="72" t="n"/>
      <c r="I11" s="56" t="n"/>
      <c r="J11" s="56" t="n"/>
      <c r="K11" s="73" t="str">
        <f>IF(A11="","",IF(J11="AUTO",H11,IF(J11="MANUAL",AK11,"")))</f>
        <v/>
      </c>
      <c r="L11" s="56" t="n"/>
      <c r="M11" s="2" t="n"/>
      <c r="N11" s="56" t="str">
        <f>IF(A11="","",IF(COUNTIFS('Human Operation Desktop'!$A$3:$A$502,A11,'Human Operation Desktop'!$I$3:$I$502,"&lt;&gt;APPLIED",'Human Operation Desktop'!$I$3:$I$502,"&lt;&gt;REJECTED")&gt;0,"YES","NO"))</f>
        <v/>
      </c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3" t="n"/>
      <c r="Y11" s="3" t="n"/>
      <c r="Z11" s="56" t="n"/>
      <c r="AA11" s="56" t="n"/>
      <c r="AB11" s="56" t="n"/>
      <c r="AC11" s="56" t="n"/>
      <c r="AD11" s="56" t="n"/>
      <c r="AE11" s="56" t="n"/>
      <c r="AF11" s="56" t="n"/>
      <c r="AG11" s="56" t="n"/>
      <c r="AH11" s="56" t="n"/>
      <c r="AI11" s="56" t="n"/>
      <c r="AJ11" s="56" t="n"/>
      <c r="AK11" s="76" t="n"/>
      <c r="AL11" s="3" t="n"/>
      <c r="AM11" s="56" t="n"/>
      <c r="AN11" s="3" t="n"/>
      <c r="AO11" s="56" t="n"/>
      <c r="AP11" s="56" t="n"/>
      <c r="AQ11" s="56" t="n"/>
      <c r="AR11" s="56" t="n"/>
      <c r="AS11" s="3" t="n"/>
    </row>
    <row r="12" ht="47" customHeight="1">
      <c r="A12" s="36" t="n"/>
      <c r="B12" s="36" t="n"/>
      <c r="C12" s="98" t="n"/>
      <c r="D12" s="53" t="n"/>
      <c r="E12" s="53" t="str">
        <f>IF(A12="","",IF(OR(AJ12="EXCLUDE",COUNTIF(AD12:AH12,"LOW")&gt;0),"EXCLUDE",IF(OR(AJ12&lt;&gt;"INCLUDE",F12&lt;&gt;"SUCCESS",D12&lt;&gt;"STORED",U12="",AP12="",AQ12="",AQ12="UNVERIFIED",AND(AP12="OFFICIAL_WEBSITE",Q12=""),AND(OR(AA12="Equipment manual / OEM instruction",AB12="Asset-specific normative"),OR(Z12&lt;&gt;"Manufacturer / supplier",AS12="",AC12=""))),"PENDING",IF(COUNTIF(AD12:AH12,"HIGH")=5,"INCLUDE","PENDING"))))</f>
        <v/>
      </c>
      <c r="F12" s="53" t="n"/>
      <c r="G12" s="74" t="n"/>
      <c r="H12" s="74" t="n"/>
      <c r="I12" s="53" t="n"/>
      <c r="J12" s="53" t="n"/>
      <c r="K12" s="75" t="str">
        <f>IF(A12="","",IF(J12="AUTO",H12,IF(J12="MANUAL",AK12,"")))</f>
        <v/>
      </c>
      <c r="L12" s="53" t="n"/>
      <c r="M12" s="2" t="n"/>
      <c r="N12" s="53" t="str">
        <f>IF(A12="","",IF(COUNTIFS('Human Operation Desktop'!$A$3:$A$502,A12,'Human Operation Desktop'!$I$3:$I$502,"&lt;&gt;APPLIED",'Human Operation Desktop'!$I$3:$I$502,"&lt;&gt;REJECTED")&gt;0,"YES","NO"))</f>
        <v/>
      </c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3" t="n"/>
      <c r="Y12" s="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75" t="n"/>
      <c r="AL12" s="53" t="n"/>
      <c r="AM12" s="53" t="n"/>
      <c r="AN12" s="3" t="n"/>
      <c r="AO12" s="53" t="n"/>
      <c r="AP12" s="53" t="n"/>
      <c r="AQ12" s="53" t="n"/>
      <c r="AR12" s="53" t="n"/>
      <c r="AS12" s="3" t="n"/>
    </row>
    <row r="13" ht="20" customHeight="1">
      <c r="A13" s="33" t="n"/>
      <c r="B13" s="33" t="n"/>
      <c r="C13" s="97" t="n"/>
      <c r="D13" s="56" t="n"/>
      <c r="E13" s="56" t="str">
        <f>IF(A13="","",IF(OR(AJ13="EXCLUDE",COUNTIF(AD13:AH13,"LOW")&gt;0),"EXCLUDE",IF(OR(AJ13&lt;&gt;"INCLUDE",F13&lt;&gt;"SUCCESS",D13&lt;&gt;"STORED",U13="",AP13="",AQ13="",AQ13="UNVERIFIED",AND(AP13="OFFICIAL_WEBSITE",Q13=""),AND(OR(AA13="Equipment manual / OEM instruction",AB13="Asset-specific normative"),OR(Z13&lt;&gt;"Manufacturer / supplier",AS13="",AC13=""))),"PENDING",IF(COUNTIF(AD13:AH13,"HIGH")=5,"INCLUDE","PENDING"))))</f>
        <v/>
      </c>
      <c r="F13" s="56" t="n"/>
      <c r="G13" s="72" t="n"/>
      <c r="H13" s="72" t="n"/>
      <c r="I13" s="56" t="n"/>
      <c r="J13" s="56" t="n"/>
      <c r="K13" s="73" t="str">
        <f>IF(A13="","",IF(J13="AUTO",H13,IF(J13="MANUAL",AK13,"")))</f>
        <v/>
      </c>
      <c r="L13" s="56" t="n"/>
      <c r="M13" s="2" t="n"/>
      <c r="N13" s="56" t="str">
        <f>IF(A13="","",IF(COUNTIFS('Human Operation Desktop'!$A$3:$A$502,A13,'Human Operation Desktop'!$I$3:$I$502,"&lt;&gt;APPLIED",'Human Operation Desktop'!$I$3:$I$502,"&lt;&gt;REJECTED")&gt;0,"YES","NO"))</f>
        <v/>
      </c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3" t="n"/>
      <c r="Y13" s="3" t="n"/>
      <c r="Z13" s="56" t="n"/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76" t="n"/>
      <c r="AL13" s="3" t="n"/>
      <c r="AM13" s="56" t="n"/>
      <c r="AN13" s="3" t="n"/>
      <c r="AO13" s="56" t="n"/>
      <c r="AP13" s="56" t="n"/>
      <c r="AQ13" s="56" t="n"/>
      <c r="AR13" s="56" t="n"/>
      <c r="AS13" s="3" t="n"/>
    </row>
    <row r="14" ht="47" customHeight="1">
      <c r="A14" s="36" t="n"/>
      <c r="B14" s="36" t="n"/>
      <c r="C14" s="98" t="n"/>
      <c r="D14" s="53" t="n"/>
      <c r="E14" s="53" t="str">
        <f>IF(A14="","",IF(OR(AJ14="EXCLUDE",COUNTIF(AD14:AH14,"LOW")&gt;0),"EXCLUDE",IF(OR(AJ14&lt;&gt;"INCLUDE",F14&lt;&gt;"SUCCESS",D14&lt;&gt;"STORED",U14="",AP14="",AQ14="",AQ14="UNVERIFIED",AND(AP14="OFFICIAL_WEBSITE",Q14=""),AND(OR(AA14="Equipment manual / OEM instruction",AB14="Asset-specific normative"),OR(Z14&lt;&gt;"Manufacturer / supplier",AS14="",AC14=""))),"PENDING",IF(COUNTIF(AD14:AH14,"HIGH")=5,"INCLUDE","PENDING"))))</f>
        <v/>
      </c>
      <c r="F14" s="53" t="n"/>
      <c r="G14" s="74" t="n"/>
      <c r="H14" s="74" t="n"/>
      <c r="I14" s="53" t="n"/>
      <c r="J14" s="53" t="n"/>
      <c r="K14" s="75" t="str">
        <f>IF(A14="","",IF(J14="AUTO",H14,IF(J14="MANUAL",AK14,"")))</f>
        <v/>
      </c>
      <c r="L14" s="53" t="n"/>
      <c r="M14" s="2" t="n"/>
      <c r="N14" s="53" t="str">
        <f>IF(A14="","",IF(COUNTIFS('Human Operation Desktop'!$A$3:$A$502,A14,'Human Operation Desktop'!$I$3:$I$502,"&lt;&gt;APPLIED",'Human Operation Desktop'!$I$3:$I$502,"&lt;&gt;REJECTED")&gt;0,"YES","NO"))</f>
        <v/>
      </c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3" t="n"/>
      <c r="Y14" s="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76" t="n"/>
      <c r="AL14" s="3" t="n"/>
      <c r="AM14" s="53" t="n"/>
      <c r="AN14" s="3" t="n"/>
      <c r="AO14" s="53" t="n"/>
      <c r="AP14" s="53" t="n"/>
      <c r="AQ14" s="53" t="n"/>
      <c r="AR14" s="53" t="n"/>
      <c r="AS14" s="3" t="n"/>
    </row>
    <row r="15" ht="20" customHeight="1">
      <c r="A15" s="33" t="n"/>
      <c r="B15" s="33" t="n"/>
      <c r="C15" s="97" t="n"/>
      <c r="D15" s="56" t="n"/>
      <c r="E15" s="56" t="str">
        <f>IF(A15="","",IF(OR(AJ15="EXCLUDE",COUNTIF(AD15:AH15,"LOW")&gt;0),"EXCLUDE",IF(OR(AJ15&lt;&gt;"INCLUDE",F15&lt;&gt;"SUCCESS",D15&lt;&gt;"STORED",U15="",AP15="",AQ15="",AQ15="UNVERIFIED",AND(AP15="OFFICIAL_WEBSITE",Q15=""),AND(OR(AA15="Equipment manual / OEM instruction",AB15="Asset-specific normative"),OR(Z15&lt;&gt;"Manufacturer / supplier",AS15="",AC15=""))),"PENDING",IF(COUNTIF(AD15:AH15,"HIGH")=5,"INCLUDE","PENDING"))))</f>
        <v/>
      </c>
      <c r="F15" s="56" t="n"/>
      <c r="G15" s="72" t="n"/>
      <c r="H15" s="72" t="n"/>
      <c r="I15" s="56" t="n"/>
      <c r="J15" s="56" t="n"/>
      <c r="K15" s="73" t="str">
        <f>IF(A15="","",IF(J15="AUTO",H15,IF(J15="MANUAL",AK15,"")))</f>
        <v/>
      </c>
      <c r="L15" s="56" t="n"/>
      <c r="M15" s="2" t="n"/>
      <c r="N15" s="56" t="str">
        <f>IF(A15="","",IF(COUNTIFS('Human Operation Desktop'!$A$3:$A$502,A15,'Human Operation Desktop'!$I$3:$I$502,"&lt;&gt;APPLIED",'Human Operation Desktop'!$I$3:$I$502,"&lt;&gt;REJECTED")&gt;0,"YES","NO"))</f>
        <v/>
      </c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3" t="n"/>
      <c r="Y15" s="3" t="n"/>
      <c r="Z15" s="56" t="n"/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76" t="n"/>
      <c r="AL15" s="3" t="n"/>
      <c r="AM15" s="56" t="n"/>
      <c r="AN15" s="3" t="n"/>
      <c r="AO15" s="56" t="n"/>
      <c r="AP15" s="56" t="n"/>
      <c r="AQ15" s="56" t="n"/>
      <c r="AR15" s="56" t="n"/>
      <c r="AS15" s="3" t="n"/>
    </row>
    <row r="16" ht="20" customHeight="1">
      <c r="A16" s="36" t="n"/>
      <c r="B16" s="36" t="n"/>
      <c r="C16" s="98" t="n"/>
      <c r="D16" s="53" t="n"/>
      <c r="E16" s="53" t="str">
        <f>IF(A16="","",IF(OR(AJ16="EXCLUDE",COUNTIF(AD16:AH16,"LOW")&gt;0),"EXCLUDE",IF(OR(AJ16&lt;&gt;"INCLUDE",F16&lt;&gt;"SUCCESS",D16&lt;&gt;"STORED",U16="",AP16="",AQ16="",AQ16="UNVERIFIED",AND(AP16="OFFICIAL_WEBSITE",Q16=""),AND(OR(AA16="Equipment manual / OEM instruction",AB16="Asset-specific normative"),OR(Z16&lt;&gt;"Manufacturer / supplier",AS16="",AC16=""))),"PENDING",IF(COUNTIF(AD16:AH16,"HIGH")=5,"INCLUDE","PENDING"))))</f>
        <v/>
      </c>
      <c r="F16" s="53" t="n"/>
      <c r="G16" s="74" t="n"/>
      <c r="H16" s="74" t="n"/>
      <c r="I16" s="53" t="n"/>
      <c r="J16" s="53" t="n"/>
      <c r="K16" s="75" t="str">
        <f>IF(A16="","",IF(J16="AUTO",H16,IF(J16="MANUAL",AK16,"")))</f>
        <v/>
      </c>
      <c r="L16" s="53" t="n"/>
      <c r="M16" s="2" t="n"/>
      <c r="N16" s="53" t="str">
        <f>IF(A16="","",IF(COUNTIFS('Human Operation Desktop'!$A$3:$A$502,A16,'Human Operation Desktop'!$I$3:$I$502,"&lt;&gt;APPLIED",'Human Operation Desktop'!$I$3:$I$502,"&lt;&gt;REJECTED")&gt;0,"YES","NO"))</f>
        <v/>
      </c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3" t="n"/>
      <c r="Y16" s="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76" t="n"/>
      <c r="AL16" s="3" t="n"/>
      <c r="AM16" s="53" t="n"/>
      <c r="AN16" s="3" t="n"/>
      <c r="AO16" s="53" t="n"/>
      <c r="AP16" s="53" t="n"/>
      <c r="AQ16" s="53" t="n"/>
      <c r="AR16" s="53" t="n"/>
      <c r="AS16" s="3" t="n"/>
    </row>
    <row r="17" ht="47" customHeight="1">
      <c r="A17" s="33" t="n"/>
      <c r="B17" s="33" t="n"/>
      <c r="C17" s="97" t="n"/>
      <c r="D17" s="56" t="n"/>
      <c r="E17" s="56" t="str">
        <f>IF(A17="","",IF(OR(AJ17="EXCLUDE",COUNTIF(AD17:AH17,"LOW")&gt;0),"EXCLUDE",IF(OR(AJ17&lt;&gt;"INCLUDE",F17&lt;&gt;"SUCCESS",D17&lt;&gt;"STORED",U17="",AP17="",AQ17="",AQ17="UNVERIFIED",AND(AP17="OFFICIAL_WEBSITE",Q17=""),AND(OR(AA17="Equipment manual / OEM instruction",AB17="Asset-specific normative"),OR(Z17&lt;&gt;"Manufacturer / supplier",AS17="",AC17=""))),"PENDING",IF(COUNTIF(AD17:AH17,"HIGH")=5,"INCLUDE","PENDING"))))</f>
        <v/>
      </c>
      <c r="F17" s="56" t="n"/>
      <c r="G17" s="72" t="n"/>
      <c r="H17" s="72" t="n"/>
      <c r="I17" s="56" t="n"/>
      <c r="J17" s="56" t="n"/>
      <c r="K17" s="73" t="str">
        <f>IF(A17="","",IF(J17="AUTO",H17,IF(J17="MANUAL",AK17,"")))</f>
        <v/>
      </c>
      <c r="L17" s="56" t="n"/>
      <c r="M17" s="2" t="n"/>
      <c r="N17" s="56" t="str">
        <f>IF(A17="","",IF(COUNTIFS('Human Operation Desktop'!$A$3:$A$502,A17,'Human Operation Desktop'!$I$3:$I$502,"&lt;&gt;APPLIED",'Human Operation Desktop'!$I$3:$I$502,"&lt;&gt;REJECTED")&gt;0,"YES","NO"))</f>
        <v/>
      </c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3" t="n"/>
      <c r="Y17" s="3" t="n"/>
      <c r="Z17" s="56" t="n"/>
      <c r="AA17" s="56" t="n"/>
      <c r="AB17" s="56" t="n"/>
      <c r="AC17" s="56" t="n"/>
      <c r="AD17" s="56" t="n"/>
      <c r="AE17" s="56" t="n"/>
      <c r="AF17" s="56" t="n"/>
      <c r="AG17" s="56" t="n"/>
      <c r="AH17" s="56" t="n"/>
      <c r="AI17" s="56" t="n"/>
      <c r="AJ17" s="56" t="n"/>
      <c r="AK17" s="76" t="n"/>
      <c r="AL17" s="3" t="n"/>
      <c r="AM17" s="56" t="n"/>
      <c r="AN17" s="3" t="n"/>
      <c r="AO17" s="56" t="n"/>
      <c r="AP17" s="56" t="n"/>
      <c r="AQ17" s="56" t="n"/>
      <c r="AR17" s="56" t="n"/>
      <c r="AS17" s="3" t="n"/>
    </row>
    <row r="18" ht="47" customHeight="1">
      <c r="A18" s="36" t="n"/>
      <c r="B18" s="36" t="n"/>
      <c r="C18" s="98" t="n"/>
      <c r="D18" s="53" t="n"/>
      <c r="E18" s="53" t="str">
        <f>IF(A18="","",IF(OR(AJ18="EXCLUDE",COUNTIF(AD18:AH18,"LOW")&gt;0),"EXCLUDE",IF(OR(AJ18&lt;&gt;"INCLUDE",F18&lt;&gt;"SUCCESS",D18&lt;&gt;"STORED",U18="",AP18="",AQ18="",AQ18="UNVERIFIED",AND(AP18="OFFICIAL_WEBSITE",Q18=""),AND(OR(AA18="Equipment manual / OEM instruction",AB18="Asset-specific normative"),OR(Z18&lt;&gt;"Manufacturer / supplier",AS18="",AC18=""))),"PENDING",IF(COUNTIF(AD18:AH18,"HIGH")=5,"INCLUDE","PENDING"))))</f>
        <v/>
      </c>
      <c r="F18" s="53" t="n"/>
      <c r="G18" s="74" t="n"/>
      <c r="H18" s="74" t="n"/>
      <c r="I18" s="53" t="n"/>
      <c r="J18" s="53" t="n"/>
      <c r="K18" s="75" t="str">
        <f>IF(A18="","",IF(J18="AUTO",H18,IF(J18="MANUAL",AK18,"")))</f>
        <v/>
      </c>
      <c r="L18" s="53" t="n"/>
      <c r="M18" s="2" t="n"/>
      <c r="N18" s="53" t="str">
        <f>IF(A18="","",IF(COUNTIFS('Human Operation Desktop'!$A$3:$A$502,A18,'Human Operation Desktop'!$I$3:$I$502,"&lt;&gt;APPLIED",'Human Operation Desktop'!$I$3:$I$502,"&lt;&gt;REJECTED")&gt;0,"YES","NO"))</f>
        <v/>
      </c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3" t="n"/>
      <c r="Y18" s="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76" t="n"/>
      <c r="AL18" s="3" t="n"/>
      <c r="AM18" s="53" t="n"/>
      <c r="AN18" s="3" t="n"/>
      <c r="AO18" s="53" t="n"/>
      <c r="AP18" s="53" t="n"/>
      <c r="AQ18" s="53" t="n"/>
      <c r="AR18" s="53" t="n"/>
      <c r="AS18" s="3" t="n"/>
    </row>
    <row r="19" ht="20" customHeight="1">
      <c r="A19" s="33" t="n"/>
      <c r="B19" s="33" t="n"/>
      <c r="C19" s="97" t="n"/>
      <c r="D19" s="56" t="n"/>
      <c r="E19" s="56" t="str">
        <f>IF(A19="","",IF(OR(AJ19="EXCLUDE",COUNTIF(AD19:AH19,"LOW")&gt;0),"EXCLUDE",IF(OR(AJ19&lt;&gt;"INCLUDE",F19&lt;&gt;"SUCCESS",D19&lt;&gt;"STORED",U19="",AP19="",AQ19="",AQ19="UNVERIFIED",AND(AP19="OFFICIAL_WEBSITE",Q19=""),AND(OR(AA19="Equipment manual / OEM instruction",AB19="Asset-specific normative"),OR(Z19&lt;&gt;"Manufacturer / supplier",AS19="",AC19=""))),"PENDING",IF(COUNTIF(AD19:AH19,"HIGH")=5,"INCLUDE","PENDING"))))</f>
        <v/>
      </c>
      <c r="F19" s="56" t="n"/>
      <c r="G19" s="72" t="n"/>
      <c r="H19" s="72" t="n"/>
      <c r="I19" s="56" t="n"/>
      <c r="J19" s="56" t="n"/>
      <c r="K19" s="73" t="str">
        <f>IF(A19="","",IF(J19="AUTO",H19,IF(J19="MANUAL",AK19,"")))</f>
        <v/>
      </c>
      <c r="L19" s="56" t="n"/>
      <c r="M19" s="2" t="n"/>
      <c r="N19" s="56" t="str">
        <f>IF(A19="","",IF(COUNTIFS('Human Operation Desktop'!$A$3:$A$502,A19,'Human Operation Desktop'!$I$3:$I$502,"&lt;&gt;APPLIED",'Human Operation Desktop'!$I$3:$I$502,"&lt;&gt;REJECTED")&gt;0,"YES","NO"))</f>
        <v/>
      </c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3" t="n"/>
      <c r="Y19" s="3" t="n"/>
      <c r="Z19" s="56" t="n"/>
      <c r="AA19" s="56" t="n"/>
      <c r="AB19" s="56" t="n"/>
      <c r="AC19" s="56" t="n"/>
      <c r="AD19" s="56" t="n"/>
      <c r="AE19" s="56" t="n"/>
      <c r="AF19" s="56" t="n"/>
      <c r="AG19" s="56" t="n"/>
      <c r="AH19" s="56" t="n"/>
      <c r="AI19" s="56" t="n"/>
      <c r="AJ19" s="56" t="n"/>
      <c r="AK19" s="76" t="n"/>
      <c r="AL19" s="3" t="n"/>
      <c r="AM19" s="56" t="n"/>
      <c r="AN19" s="3" t="n"/>
      <c r="AO19" s="56" t="n"/>
      <c r="AP19" s="56" t="n"/>
      <c r="AQ19" s="56" t="n"/>
      <c r="AR19" s="56" t="n"/>
      <c r="AS19" s="3" t="n"/>
    </row>
    <row r="20" ht="20" customHeight="1">
      <c r="A20" s="36" t="n"/>
      <c r="B20" s="36" t="n"/>
      <c r="C20" s="98" t="n"/>
      <c r="D20" s="53" t="n"/>
      <c r="E20" s="53" t="str">
        <f>IF(A20="","",IF(OR(AJ20="EXCLUDE",COUNTIF(AD20:AH20,"LOW")&gt;0),"EXCLUDE",IF(OR(AJ20&lt;&gt;"INCLUDE",F20&lt;&gt;"SUCCESS",D20&lt;&gt;"STORED",U20="",AP20="",AQ20="",AQ20="UNVERIFIED",AND(AP20="OFFICIAL_WEBSITE",Q20=""),AND(OR(AA20="Equipment manual / OEM instruction",AB20="Asset-specific normative"),OR(Z20&lt;&gt;"Manufacturer / supplier",AS20="",AC20=""))),"PENDING",IF(COUNTIF(AD20:AH20,"HIGH")=5,"INCLUDE","PENDING"))))</f>
        <v/>
      </c>
      <c r="F20" s="53" t="n"/>
      <c r="G20" s="74" t="n"/>
      <c r="H20" s="74" t="n"/>
      <c r="I20" s="53" t="n"/>
      <c r="J20" s="53" t="n"/>
      <c r="K20" s="75" t="str">
        <f>IF(A20="","",IF(J20="AUTO",H20,IF(J20="MANUAL",AK20,"")))</f>
        <v/>
      </c>
      <c r="L20" s="53" t="n"/>
      <c r="M20" s="2" t="n"/>
      <c r="N20" s="53" t="str">
        <f>IF(A20="","",IF(COUNTIFS('Human Operation Desktop'!$A$3:$A$502,A20,'Human Operation Desktop'!$I$3:$I$502,"&lt;&gt;APPLIED",'Human Operation Desktop'!$I$3:$I$502,"&lt;&gt;REJECTED")&gt;0,"YES","NO"))</f>
        <v/>
      </c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3" t="n"/>
      <c r="Y20" s="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76" t="n"/>
      <c r="AL20" s="3" t="n"/>
      <c r="AM20" s="53" t="n"/>
      <c r="AN20" s="3" t="n"/>
      <c r="AO20" s="53" t="n"/>
      <c r="AP20" s="53" t="n"/>
      <c r="AQ20" s="53" t="n"/>
      <c r="AR20" s="53" t="n"/>
      <c r="AS20" s="3" t="n"/>
    </row>
    <row r="21" ht="20" customHeight="1">
      <c r="A21" s="33" t="n"/>
      <c r="B21" s="33" t="n"/>
      <c r="C21" s="97" t="n"/>
      <c r="D21" s="56" t="n"/>
      <c r="E21" s="56" t="str">
        <f>IF(A21="","",IF(OR(AJ21="EXCLUDE",COUNTIF(AD21:AH21,"LOW")&gt;0),"EXCLUDE",IF(OR(AJ21&lt;&gt;"INCLUDE",F21&lt;&gt;"SUCCESS",D21&lt;&gt;"STORED",U21="",AP21="",AQ21="",AQ21="UNVERIFIED",AND(AP21="OFFICIAL_WEBSITE",Q21=""),AND(OR(AA21="Equipment manual / OEM instruction",AB21="Asset-specific normative"),OR(Z21&lt;&gt;"Manufacturer / supplier",AS21="",AC21=""))),"PENDING",IF(COUNTIF(AD21:AH21,"HIGH")=5,"INCLUDE","PENDING"))))</f>
        <v/>
      </c>
      <c r="F21" s="56" t="n"/>
      <c r="G21" s="72" t="n"/>
      <c r="H21" s="72" t="n"/>
      <c r="I21" s="56" t="n"/>
      <c r="J21" s="56" t="n"/>
      <c r="K21" s="73" t="str">
        <f>IF(A21="","",IF(J21="AUTO",H21,IF(J21="MANUAL",AK21,"")))</f>
        <v/>
      </c>
      <c r="L21" s="56" t="n"/>
      <c r="M21" s="2" t="n"/>
      <c r="N21" s="56" t="str">
        <f>IF(A21="","",IF(COUNTIFS('Human Operation Desktop'!$A$3:$A$502,A21,'Human Operation Desktop'!$I$3:$I$502,"&lt;&gt;APPLIED",'Human Operation Desktop'!$I$3:$I$502,"&lt;&gt;REJECTED")&gt;0,"YES","NO"))</f>
        <v/>
      </c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3" t="n"/>
      <c r="Y21" s="3" t="n"/>
      <c r="Z21" s="56" t="n"/>
      <c r="AA21" s="56" t="n"/>
      <c r="AB21" s="56" t="n"/>
      <c r="AC21" s="56" t="n"/>
      <c r="AD21" s="56" t="n"/>
      <c r="AE21" s="56" t="n"/>
      <c r="AF21" s="56" t="n"/>
      <c r="AG21" s="56" t="n"/>
      <c r="AH21" s="56" t="n"/>
      <c r="AI21" s="56" t="n"/>
      <c r="AJ21" s="56" t="n"/>
      <c r="AK21" s="76" t="n"/>
      <c r="AL21" s="3" t="n"/>
      <c r="AM21" s="56" t="n"/>
      <c r="AN21" s="3" t="n"/>
      <c r="AO21" s="56" t="n"/>
      <c r="AP21" s="56" t="n"/>
      <c r="AQ21" s="56" t="n"/>
      <c r="AR21" s="56" t="n"/>
      <c r="AS21" s="3" t="n"/>
    </row>
    <row r="22" ht="47" customHeight="1">
      <c r="A22" s="36" t="n"/>
      <c r="B22" s="36" t="n"/>
      <c r="C22" s="98" t="n"/>
      <c r="D22" s="53" t="n"/>
      <c r="E22" s="53" t="str">
        <f>IF(A22="","",IF(OR(AJ22="EXCLUDE",COUNTIF(AD22:AH22,"LOW")&gt;0),"EXCLUDE",IF(OR(AJ22&lt;&gt;"INCLUDE",F22&lt;&gt;"SUCCESS",D22&lt;&gt;"STORED",U22="",AP22="",AQ22="",AQ22="UNVERIFIED",AND(AP22="OFFICIAL_WEBSITE",Q22=""),AND(OR(AA22="Equipment manual / OEM instruction",AB22="Asset-specific normative"),OR(Z22&lt;&gt;"Manufacturer / supplier",AS22="",AC22=""))),"PENDING",IF(COUNTIF(AD22:AH22,"HIGH")=5,"INCLUDE","PENDING"))))</f>
        <v/>
      </c>
      <c r="F22" s="53" t="n"/>
      <c r="G22" s="74" t="n"/>
      <c r="H22" s="74" t="n"/>
      <c r="I22" s="53" t="n"/>
      <c r="J22" s="53" t="n"/>
      <c r="K22" s="75" t="str">
        <f>IF(A22="","",IF(J22="AUTO",H22,IF(J22="MANUAL",AK22,"")))</f>
        <v/>
      </c>
      <c r="L22" s="53" t="n"/>
      <c r="M22" s="2" t="n"/>
      <c r="N22" s="53" t="str">
        <f>IF(A22="","",IF(COUNTIFS('Human Operation Desktop'!$A$3:$A$502,A22,'Human Operation Desktop'!$I$3:$I$502,"&lt;&gt;APPLIED",'Human Operation Desktop'!$I$3:$I$502,"&lt;&gt;REJECTED")&gt;0,"YES","NO"))</f>
        <v/>
      </c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3" t="n"/>
      <c r="Y22" s="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76" t="n"/>
      <c r="AL22" s="3" t="n"/>
      <c r="AM22" s="53" t="n"/>
      <c r="AN22" s="3" t="n"/>
      <c r="AO22" s="53" t="n"/>
      <c r="AP22" s="53" t="n"/>
      <c r="AQ22" s="53" t="n"/>
      <c r="AR22" s="53" t="n"/>
      <c r="AS22" s="3" t="n"/>
    </row>
    <row r="23" ht="47" customHeight="1">
      <c r="A23" s="33" t="n"/>
      <c r="B23" s="33" t="n"/>
      <c r="C23" s="97" t="n"/>
      <c r="D23" s="56" t="n"/>
      <c r="E23" s="56" t="str">
        <f>IF(A23="","",IF(OR(AJ23="EXCLUDE",COUNTIF(AD23:AH23,"LOW")&gt;0),"EXCLUDE",IF(OR(AJ23&lt;&gt;"INCLUDE",F23&lt;&gt;"SUCCESS",D23&lt;&gt;"STORED",U23="",AP23="",AQ23="",AQ23="UNVERIFIED",AND(AP23="OFFICIAL_WEBSITE",Q23=""),AND(OR(AA23="Equipment manual / OEM instruction",AB23="Asset-specific normative"),OR(Z23&lt;&gt;"Manufacturer / supplier",AS23="",AC23=""))),"PENDING",IF(COUNTIF(AD23:AH23,"HIGH")=5,"INCLUDE","PENDING"))))</f>
        <v/>
      </c>
      <c r="F23" s="56" t="n"/>
      <c r="G23" s="72" t="n"/>
      <c r="H23" s="72" t="n"/>
      <c r="I23" s="56" t="n"/>
      <c r="J23" s="56" t="n"/>
      <c r="K23" s="73" t="str">
        <f>IF(A23="","",IF(J23="AUTO",H23,IF(J23="MANUAL",AK23,"")))</f>
        <v/>
      </c>
      <c r="L23" s="56" t="n"/>
      <c r="M23" s="2" t="n"/>
      <c r="N23" s="56" t="str">
        <f>IF(A23="","",IF(COUNTIFS('Human Operation Desktop'!$A$3:$A$502,A23,'Human Operation Desktop'!$I$3:$I$502,"&lt;&gt;APPLIED",'Human Operation Desktop'!$I$3:$I$502,"&lt;&gt;REJECTED")&gt;0,"YES","NO"))</f>
        <v/>
      </c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3" t="n"/>
      <c r="Y23" s="3" t="n"/>
      <c r="Z23" s="56" t="n"/>
      <c r="AA23" s="56" t="n"/>
      <c r="AB23" s="56" t="n"/>
      <c r="AC23" s="56" t="n"/>
      <c r="AD23" s="56" t="n"/>
      <c r="AE23" s="56" t="n"/>
      <c r="AF23" s="56" t="n"/>
      <c r="AG23" s="56" t="n"/>
      <c r="AH23" s="56" t="n"/>
      <c r="AI23" s="56" t="n"/>
      <c r="AJ23" s="56" t="n"/>
      <c r="AK23" s="76" t="n"/>
      <c r="AL23" s="3" t="n"/>
      <c r="AM23" s="56" t="n"/>
      <c r="AN23" s="3" t="n"/>
      <c r="AO23" s="56" t="n"/>
      <c r="AP23" s="56" t="n"/>
      <c r="AQ23" s="56" t="n"/>
      <c r="AR23" s="56" t="n"/>
      <c r="AS23" s="3" t="n"/>
    </row>
    <row r="24" ht="47" customHeight="1">
      <c r="A24" s="36" t="n"/>
      <c r="B24" s="36" t="n"/>
      <c r="C24" s="98" t="n"/>
      <c r="D24" s="53" t="n"/>
      <c r="E24" s="53" t="str">
        <f>IF(A24="","",IF(OR(AJ24="EXCLUDE",COUNTIF(AD24:AH24,"LOW")&gt;0),"EXCLUDE",IF(OR(AJ24&lt;&gt;"INCLUDE",F24&lt;&gt;"SUCCESS",D24&lt;&gt;"STORED",U24="",AP24="",AQ24="",AQ24="UNVERIFIED",AND(AP24="OFFICIAL_WEBSITE",Q24=""),AND(OR(AA24="Equipment manual / OEM instruction",AB24="Asset-specific normative"),OR(Z24&lt;&gt;"Manufacturer / supplier",AS24="",AC24=""))),"PENDING",IF(COUNTIF(AD24:AH24,"HIGH")=5,"INCLUDE","PENDING"))))</f>
        <v/>
      </c>
      <c r="F24" s="53" t="n"/>
      <c r="G24" s="74" t="n"/>
      <c r="H24" s="74" t="n"/>
      <c r="I24" s="53" t="n"/>
      <c r="J24" s="53" t="n"/>
      <c r="K24" s="75" t="str">
        <f>IF(A24="","",IF(J24="AUTO",H24,IF(J24="MANUAL",AK24,"")))</f>
        <v/>
      </c>
      <c r="L24" s="53" t="n"/>
      <c r="M24" s="2" t="n"/>
      <c r="N24" s="53" t="str">
        <f>IF(A24="","",IF(COUNTIFS('Human Operation Desktop'!$A$3:$A$502,A24,'Human Operation Desktop'!$I$3:$I$502,"&lt;&gt;APPLIED",'Human Operation Desktop'!$I$3:$I$502,"&lt;&gt;REJECTED")&gt;0,"YES","NO"))</f>
        <v/>
      </c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3" t="n"/>
      <c r="Y24" s="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76" t="n"/>
      <c r="AL24" s="3" t="n"/>
      <c r="AM24" s="53" t="n"/>
      <c r="AN24" s="3" t="n"/>
      <c r="AO24" s="53" t="n"/>
      <c r="AP24" s="53" t="n"/>
      <c r="AQ24" s="53" t="n"/>
      <c r="AR24" s="53" t="n"/>
      <c r="AS24" s="3" t="n"/>
    </row>
    <row r="25" ht="20" customHeight="1">
      <c r="A25" s="33" t="n"/>
      <c r="B25" s="33" t="n"/>
      <c r="C25" s="97" t="n"/>
      <c r="D25" s="56" t="n"/>
      <c r="E25" s="56" t="str">
        <f>IF(A25="","",IF(OR(AJ25="EXCLUDE",COUNTIF(AD25:AH25,"LOW")&gt;0),"EXCLUDE",IF(OR(AJ25&lt;&gt;"INCLUDE",F25&lt;&gt;"SUCCESS",D25&lt;&gt;"STORED",U25="",AP25="",AQ25="",AQ25="UNVERIFIED",AND(AP25="OFFICIAL_WEBSITE",Q25=""),AND(OR(AA25="Equipment manual / OEM instruction",AB25="Asset-specific normative"),OR(Z25&lt;&gt;"Manufacturer / supplier",AS25="",AC25=""))),"PENDING",IF(COUNTIF(AD25:AH25,"HIGH")=5,"INCLUDE","PENDING"))))</f>
        <v/>
      </c>
      <c r="F25" s="56" t="n"/>
      <c r="G25" s="72" t="n"/>
      <c r="H25" s="72" t="n"/>
      <c r="I25" s="56" t="n"/>
      <c r="J25" s="56" t="n"/>
      <c r="K25" s="73" t="str">
        <f>IF(A25="","",IF(J25="AUTO",H25,IF(J25="MANUAL",AK25,"")))</f>
        <v/>
      </c>
      <c r="L25" s="56" t="n"/>
      <c r="M25" s="2" t="n"/>
      <c r="N25" s="56" t="str">
        <f>IF(A25="","",IF(COUNTIFS('Human Operation Desktop'!$A$3:$A$502,A25,'Human Operation Desktop'!$I$3:$I$502,"&lt;&gt;APPLIED",'Human Operation Desktop'!$I$3:$I$502,"&lt;&gt;REJECTED")&gt;0,"YES","NO"))</f>
        <v/>
      </c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3" t="n"/>
      <c r="Y25" s="3" t="n"/>
      <c r="Z25" s="56" t="n"/>
      <c r="AA25" s="56" t="n"/>
      <c r="AB25" s="56" t="n"/>
      <c r="AC25" s="56" t="n"/>
      <c r="AD25" s="56" t="n"/>
      <c r="AE25" s="56" t="n"/>
      <c r="AF25" s="56" t="n"/>
      <c r="AG25" s="56" t="n"/>
      <c r="AH25" s="56" t="n"/>
      <c r="AI25" s="56" t="n"/>
      <c r="AJ25" s="56" t="n"/>
      <c r="AK25" s="76" t="n"/>
      <c r="AL25" s="3" t="n"/>
      <c r="AM25" s="56" t="n"/>
      <c r="AN25" s="3" t="n"/>
      <c r="AO25" s="56" t="n"/>
      <c r="AP25" s="56" t="n"/>
      <c r="AQ25" s="56" t="n"/>
      <c r="AR25" s="56" t="n"/>
      <c r="AS25" s="3" t="n"/>
    </row>
    <row r="26" ht="20" customHeight="1">
      <c r="A26" s="36" t="n"/>
      <c r="B26" s="36" t="n"/>
      <c r="C26" s="98" t="n"/>
      <c r="D26" s="53" t="n"/>
      <c r="E26" s="53" t="str">
        <f>IF(A26="","",IF(OR(AJ26="EXCLUDE",COUNTIF(AD26:AH26,"LOW")&gt;0),"EXCLUDE",IF(OR(AJ26&lt;&gt;"INCLUDE",F26&lt;&gt;"SUCCESS",D26&lt;&gt;"STORED",U26="",AP26="",AQ26="",AQ26="UNVERIFIED",AND(AP26="OFFICIAL_WEBSITE",Q26=""),AND(OR(AA26="Equipment manual / OEM instruction",AB26="Asset-specific normative"),OR(Z26&lt;&gt;"Manufacturer / supplier",AS26="",AC26=""))),"PENDING",IF(COUNTIF(AD26:AH26,"HIGH")=5,"INCLUDE","PENDING"))))</f>
        <v/>
      </c>
      <c r="F26" s="53" t="n"/>
      <c r="G26" s="74" t="n"/>
      <c r="H26" s="74" t="n"/>
      <c r="I26" s="53" t="n"/>
      <c r="J26" s="53" t="n"/>
      <c r="K26" s="75" t="str">
        <f>IF(A26="","",IF(J26="AUTO",H26,IF(J26="MANUAL",AK26,"")))</f>
        <v/>
      </c>
      <c r="L26" s="53" t="n"/>
      <c r="M26" s="2" t="n"/>
      <c r="N26" s="53" t="str">
        <f>IF(A26="","",IF(COUNTIFS('Human Operation Desktop'!$A$3:$A$502,A26,'Human Operation Desktop'!$I$3:$I$502,"&lt;&gt;APPLIED",'Human Operation Desktop'!$I$3:$I$502,"&lt;&gt;REJECTED")&gt;0,"YES","NO"))</f>
        <v/>
      </c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3" t="n"/>
      <c r="Y26" s="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76" t="n"/>
      <c r="AL26" s="3" t="n"/>
      <c r="AM26" s="53" t="n"/>
      <c r="AN26" s="53" t="n"/>
      <c r="AO26" s="53" t="n"/>
      <c r="AP26" s="53" t="n"/>
      <c r="AQ26" s="53" t="n"/>
      <c r="AR26" s="53" t="n"/>
      <c r="AS26" s="3" t="n"/>
    </row>
    <row r="27" ht="20" customHeight="1">
      <c r="A27" s="33" t="n"/>
      <c r="B27" s="33" t="n"/>
      <c r="C27" s="97" t="n"/>
      <c r="D27" s="56" t="n"/>
      <c r="E27" s="56" t="str">
        <f>IF(A27="","",IF(OR(AJ27="EXCLUDE",COUNTIF(AD27:AH27,"LOW")&gt;0),"EXCLUDE",IF(OR(AJ27&lt;&gt;"INCLUDE",F27&lt;&gt;"SUCCESS",D27&lt;&gt;"STORED",U27="",AP27="",AQ27="",AQ27="UNVERIFIED",AND(AP27="OFFICIAL_WEBSITE",Q27=""),AND(OR(AA27="Equipment manual / OEM instruction",AB27="Asset-specific normative"),OR(Z27&lt;&gt;"Manufacturer / supplier",AS27="",AC27=""))),"PENDING",IF(COUNTIF(AD27:AH27,"HIGH")=5,"INCLUDE","PENDING"))))</f>
        <v/>
      </c>
      <c r="F27" s="56" t="n"/>
      <c r="G27" s="72" t="n"/>
      <c r="H27" s="72" t="n"/>
      <c r="I27" s="56" t="n"/>
      <c r="J27" s="56" t="n"/>
      <c r="K27" s="73" t="str">
        <f>IF(A27="","",IF(J27="AUTO",H27,IF(J27="MANUAL",AK27,"")))</f>
        <v/>
      </c>
      <c r="L27" s="56" t="n"/>
      <c r="M27" s="2" t="n"/>
      <c r="N27" s="56" t="str">
        <f>IF(A27="","",IF(COUNTIFS('Human Operation Desktop'!$A$3:$A$502,A27,'Human Operation Desktop'!$I$3:$I$502,"&lt;&gt;APPLIED",'Human Operation Desktop'!$I$3:$I$502,"&lt;&gt;REJECTED")&gt;0,"YES","NO"))</f>
        <v/>
      </c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3" t="n"/>
      <c r="Y27" s="3" t="n"/>
      <c r="Z27" s="56" t="n"/>
      <c r="AA27" s="56" t="n"/>
      <c r="AB27" s="56" t="n"/>
      <c r="AC27" s="56" t="n"/>
      <c r="AD27" s="56" t="n"/>
      <c r="AE27" s="56" t="n"/>
      <c r="AF27" s="56" t="n"/>
      <c r="AG27" s="56" t="n"/>
      <c r="AH27" s="56" t="n"/>
      <c r="AI27" s="56" t="n"/>
      <c r="AJ27" s="56" t="n"/>
      <c r="AK27" s="76" t="n"/>
      <c r="AL27" s="3" t="n"/>
      <c r="AM27" s="56" t="n"/>
      <c r="AN27" s="56" t="n"/>
      <c r="AO27" s="56" t="n"/>
      <c r="AP27" s="56" t="n"/>
      <c r="AQ27" s="56" t="n"/>
      <c r="AR27" s="56" t="n"/>
      <c r="AS27" s="3" t="n"/>
    </row>
    <row r="28" ht="47" customHeight="1">
      <c r="A28" s="36" t="n"/>
      <c r="B28" s="36" t="n"/>
      <c r="C28" s="98" t="n"/>
      <c r="D28" s="53" t="n"/>
      <c r="E28" s="53" t="str">
        <f>IF(A28="","",IF(OR(AJ28="EXCLUDE",COUNTIF(AD28:AH28,"LOW")&gt;0),"EXCLUDE",IF(OR(AJ28&lt;&gt;"INCLUDE",F28&lt;&gt;"SUCCESS",D28&lt;&gt;"STORED",U28="",AP28="",AQ28="",AQ28="UNVERIFIED",AND(AP28="OFFICIAL_WEBSITE",Q28=""),AND(OR(AA28="Equipment manual / OEM instruction",AB28="Asset-specific normative"),OR(Z28&lt;&gt;"Manufacturer / supplier",AS28="",AC28=""))),"PENDING",IF(COUNTIF(AD28:AH28,"HIGH")=5,"INCLUDE","PENDING"))))</f>
        <v/>
      </c>
      <c r="F28" s="53" t="n"/>
      <c r="G28" s="74" t="n"/>
      <c r="H28" s="74" t="n"/>
      <c r="I28" s="53" t="n"/>
      <c r="J28" s="53" t="n"/>
      <c r="K28" s="75" t="str">
        <f>IF(A28="","",IF(J28="AUTO",H28,IF(J28="MANUAL",AK28,"")))</f>
        <v/>
      </c>
      <c r="L28" s="53" t="n"/>
      <c r="M28" s="2" t="n"/>
      <c r="N28" s="53" t="str">
        <f>IF(A28="","",IF(COUNTIFS('Human Operation Desktop'!$A$3:$A$502,A28,'Human Operation Desktop'!$I$3:$I$502,"&lt;&gt;APPLIED",'Human Operation Desktop'!$I$3:$I$502,"&lt;&gt;REJECTED")&gt;0,"YES","NO"))</f>
        <v/>
      </c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3" t="n"/>
      <c r="Y28" s="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76" t="n"/>
      <c r="AL28" s="3" t="n"/>
      <c r="AM28" s="53" t="n"/>
      <c r="AN28" s="53" t="n"/>
      <c r="AO28" s="53" t="n"/>
      <c r="AP28" s="53" t="n"/>
      <c r="AQ28" s="53" t="n"/>
      <c r="AR28" s="53" t="n"/>
      <c r="AS28" s="3" t="n"/>
    </row>
    <row r="29" ht="20" customHeight="1">
      <c r="A29" s="33" t="n"/>
      <c r="B29" s="33" t="n"/>
      <c r="C29" s="97" t="n"/>
      <c r="D29" s="56" t="n"/>
      <c r="E29" s="56" t="str">
        <f>IF(A29="","",IF(OR(AJ29="EXCLUDE",COUNTIF(AD29:AH29,"LOW")&gt;0),"EXCLUDE",IF(OR(AJ29&lt;&gt;"INCLUDE",F29&lt;&gt;"SUCCESS",D29&lt;&gt;"STORED",U29="",AP29="",AQ29="",AQ29="UNVERIFIED",AND(AP29="OFFICIAL_WEBSITE",Q29=""),AND(OR(AA29="Equipment manual / OEM instruction",AB29="Asset-specific normative"),OR(Z29&lt;&gt;"Manufacturer / supplier",AS29="",AC29=""))),"PENDING",IF(COUNTIF(AD29:AH29,"HIGH")=5,"INCLUDE","PENDING"))))</f>
        <v/>
      </c>
      <c r="F29" s="56" t="n"/>
      <c r="G29" s="72" t="n"/>
      <c r="H29" s="72" t="n"/>
      <c r="I29" s="56" t="n"/>
      <c r="J29" s="56" t="n"/>
      <c r="K29" s="73" t="str">
        <f>IF(A29="","",IF(J29="AUTO",H29,IF(J29="MANUAL",AK29,"")))</f>
        <v/>
      </c>
      <c r="L29" s="56" t="n"/>
      <c r="M29" s="2" t="n"/>
      <c r="N29" s="56" t="str">
        <f>IF(A29="","",IF(COUNTIFS('Human Operation Desktop'!$A$3:$A$502,A29,'Human Operation Desktop'!$I$3:$I$502,"&lt;&gt;APPLIED",'Human Operation Desktop'!$I$3:$I$502,"&lt;&gt;REJECTED")&gt;0,"YES","NO"))</f>
        <v/>
      </c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3" t="n"/>
      <c r="Y29" s="3" t="n"/>
      <c r="Z29" s="56" t="n"/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76" t="n"/>
      <c r="AL29" s="3" t="n"/>
      <c r="AM29" s="56" t="n"/>
      <c r="AN29" s="56" t="n"/>
      <c r="AO29" s="56" t="n"/>
      <c r="AP29" s="56" t="n"/>
      <c r="AQ29" s="56" t="n"/>
      <c r="AR29" s="56" t="n"/>
      <c r="AS29" s="3" t="n"/>
    </row>
    <row r="30" ht="20" customHeight="1">
      <c r="A30" s="36" t="n"/>
      <c r="B30" s="36" t="n"/>
      <c r="C30" s="98" t="n"/>
      <c r="D30" s="53" t="n"/>
      <c r="E30" s="53" t="str">
        <f>IF(A30="","",IF(OR(AJ30="EXCLUDE",COUNTIF(AD30:AH30,"LOW")&gt;0),"EXCLUDE",IF(OR(AJ30&lt;&gt;"INCLUDE",F30&lt;&gt;"SUCCESS",D30&lt;&gt;"STORED",U30="",AP30="",AQ30="",AQ30="UNVERIFIED",AND(AP30="OFFICIAL_WEBSITE",Q30=""),AND(OR(AA30="Equipment manual / OEM instruction",AB30="Asset-specific normative"),OR(Z30&lt;&gt;"Manufacturer / supplier",AS30="",AC30=""))),"PENDING",IF(COUNTIF(AD30:AH30,"HIGH")=5,"INCLUDE","PENDING"))))</f>
        <v/>
      </c>
      <c r="F30" s="53" t="n"/>
      <c r="G30" s="74" t="n"/>
      <c r="H30" s="74" t="n"/>
      <c r="I30" s="53" t="n"/>
      <c r="J30" s="53" t="n"/>
      <c r="K30" s="75" t="str">
        <f>IF(A30="","",IF(J30="AUTO",H30,IF(J30="MANUAL",AK30,"")))</f>
        <v/>
      </c>
      <c r="L30" s="53" t="n"/>
      <c r="M30" s="2" t="n"/>
      <c r="N30" s="53" t="str">
        <f>IF(A30="","",IF(COUNTIFS('Human Operation Desktop'!$A$3:$A$502,A30,'Human Operation Desktop'!$I$3:$I$502,"&lt;&gt;APPLIED",'Human Operation Desktop'!$I$3:$I$502,"&lt;&gt;REJECTED")&gt;0,"YES","NO"))</f>
        <v/>
      </c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3" t="n"/>
      <c r="Y30" s="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76" t="n"/>
      <c r="AL30" s="3" t="n"/>
      <c r="AM30" s="53" t="n"/>
      <c r="AN30" s="53" t="n"/>
      <c r="AO30" s="53" t="n"/>
      <c r="AP30" s="53" t="n"/>
      <c r="AQ30" s="53" t="n"/>
      <c r="AR30" s="53" t="n"/>
      <c r="AS30" s="3" t="n"/>
    </row>
    <row r="31" ht="20" customHeight="1">
      <c r="A31" s="33" t="n"/>
      <c r="B31" s="33" t="n"/>
      <c r="C31" s="97" t="n"/>
      <c r="D31" s="56" t="n"/>
      <c r="E31" s="56" t="str">
        <f>IF(A31="","",IF(OR(AJ31="EXCLUDE",COUNTIF(AD31:AH31,"LOW")&gt;0),"EXCLUDE",IF(OR(AJ31&lt;&gt;"INCLUDE",F31&lt;&gt;"SUCCESS",D31&lt;&gt;"STORED",U31="",AP31="",AQ31="",AQ31="UNVERIFIED",AND(AP31="OFFICIAL_WEBSITE",Q31=""),AND(OR(AA31="Equipment manual / OEM instruction",AB31="Asset-specific normative"),OR(Z31&lt;&gt;"Manufacturer / supplier",AS31="",AC31=""))),"PENDING",IF(COUNTIF(AD31:AH31,"HIGH")=5,"INCLUDE","PENDING"))))</f>
        <v/>
      </c>
      <c r="F31" s="39" t="n"/>
      <c r="G31" s="72" t="n"/>
      <c r="H31" s="81" t="n"/>
      <c r="I31" s="56" t="n"/>
      <c r="J31" s="56" t="n"/>
      <c r="K31" s="73" t="str">
        <f>IF(A31="","",IF(J31="AUTO",H31,IF(J31="MANUAL",AK31,"")))</f>
        <v/>
      </c>
      <c r="L31" s="56" t="n"/>
      <c r="M31" s="56" t="n"/>
      <c r="N31" s="56" t="str">
        <f>IF(A31="","",IF(COUNTIFS('Human Operation Desktop'!$A$3:$A$502,A31,'Human Operation Desktop'!$I$3:$I$502,"&lt;&gt;APPLIED",'Human Operation Desktop'!$I$3:$I$502,"&lt;&gt;REJECTED")&gt;0,"YES","NO"))</f>
        <v/>
      </c>
      <c r="O31" s="2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3" t="n"/>
      <c r="Y31" s="3" t="n"/>
      <c r="Z31" s="56" t="n"/>
      <c r="AA31" s="56" t="n"/>
      <c r="AB31" s="56" t="n"/>
      <c r="AC31" s="56" t="n"/>
      <c r="AD31" s="56" t="n"/>
      <c r="AE31" s="56" t="n"/>
      <c r="AF31" s="56" t="n"/>
      <c r="AG31" s="56" t="n"/>
      <c r="AH31" s="56" t="n"/>
      <c r="AI31" s="56" t="n"/>
      <c r="AJ31" s="56" t="n"/>
      <c r="AK31" s="73" t="n"/>
      <c r="AL31" s="56" t="n"/>
      <c r="AM31" s="56" t="n"/>
      <c r="AN31" s="56" t="n"/>
      <c r="AO31" s="56" t="n"/>
      <c r="AP31" s="56" t="n"/>
      <c r="AQ31" s="56" t="n"/>
      <c r="AR31" s="56" t="n"/>
      <c r="AS31" s="3" t="n"/>
    </row>
    <row r="32" ht="47" customHeight="1">
      <c r="A32" s="36" t="n"/>
      <c r="B32" s="36" t="n"/>
      <c r="C32" s="98" t="n"/>
      <c r="D32" s="53" t="n"/>
      <c r="E32" s="53" t="str">
        <f>IF(A32="","",IF(OR(AJ32="EXCLUDE",COUNTIF(AD32:AH32,"LOW")&gt;0),"EXCLUDE",IF(OR(AJ32&lt;&gt;"INCLUDE",F32&lt;&gt;"SUCCESS",D32&lt;&gt;"STORED",U32="",AP32="",AQ32="",AQ32="UNVERIFIED",AND(AP32="OFFICIAL_WEBSITE",Q32=""),AND(OR(AA32="Equipment manual / OEM instruction",AB32="Asset-specific normative"),OR(Z32&lt;&gt;"Manufacturer / supplier",AS32="",AC32=""))),"PENDING",IF(COUNTIF(AD32:AH32,"HIGH")=5,"INCLUDE","PENDING"))))</f>
        <v/>
      </c>
      <c r="F32" s="53" t="n"/>
      <c r="G32" s="74" t="n"/>
      <c r="H32" s="74" t="n"/>
      <c r="I32" s="53" t="n"/>
      <c r="J32" s="53" t="n"/>
      <c r="K32" s="75" t="str">
        <f>IF(A32="","",IF(J32="AUTO",H32,IF(J32="MANUAL",AK32,"")))</f>
        <v/>
      </c>
      <c r="L32" s="53" t="n"/>
      <c r="M32" s="2" t="n"/>
      <c r="N32" s="53" t="str">
        <f>IF(A32="","",IF(COUNTIFS('Human Operation Desktop'!$A$3:$A$502,A32,'Human Operation Desktop'!$I$3:$I$502,"&lt;&gt;APPLIED",'Human Operation Desktop'!$I$3:$I$502,"&lt;&gt;REJECTED")&gt;0,"YES","NO"))</f>
        <v/>
      </c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3" t="n"/>
      <c r="Y32" s="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76" t="n"/>
      <c r="AL32" s="3" t="n"/>
      <c r="AM32" s="53" t="n"/>
      <c r="AN32" s="3" t="n"/>
      <c r="AO32" s="53" t="n"/>
      <c r="AP32" s="53" t="n"/>
      <c r="AQ32" s="53" t="n"/>
      <c r="AR32" s="53" t="n"/>
      <c r="AS32" s="3" t="n"/>
    </row>
    <row r="33" ht="47" customHeight="1">
      <c r="A33" s="33" t="n"/>
      <c r="B33" s="33" t="n"/>
      <c r="C33" s="97" t="n"/>
      <c r="D33" s="56" t="n"/>
      <c r="E33" s="56" t="str">
        <f>IF(A33="","",IF(OR(AJ33="EXCLUDE",COUNTIF(AD33:AH33,"LOW")&gt;0),"EXCLUDE",IF(OR(AJ33&lt;&gt;"INCLUDE",F33&lt;&gt;"SUCCESS",D33&lt;&gt;"STORED",U33="",AP33="",AQ33="",AQ33="UNVERIFIED",AND(AP33="OFFICIAL_WEBSITE",Q33=""),AND(OR(AA33="Equipment manual / OEM instruction",AB33="Asset-specific normative"),OR(Z33&lt;&gt;"Manufacturer / supplier",AS33="",AC33=""))),"PENDING",IF(COUNTIF(AD33:AH33,"HIGH")=5,"INCLUDE","PENDING"))))</f>
        <v/>
      </c>
      <c r="F33" s="56" t="n"/>
      <c r="G33" s="72" t="n"/>
      <c r="H33" s="72" t="n"/>
      <c r="I33" s="56" t="n"/>
      <c r="J33" s="56" t="n"/>
      <c r="K33" s="73" t="str">
        <f>IF(A33="","",IF(J33="AUTO",H33,IF(J33="MANUAL",AK33,"")))</f>
        <v/>
      </c>
      <c r="L33" s="56" t="n"/>
      <c r="M33" s="2" t="n"/>
      <c r="N33" s="56" t="str">
        <f>IF(A33="","",IF(COUNTIFS('Human Operation Desktop'!$A$3:$A$502,A33,'Human Operation Desktop'!$I$3:$I$502,"&lt;&gt;APPLIED",'Human Operation Desktop'!$I$3:$I$502,"&lt;&gt;REJECTED")&gt;0,"YES","NO"))</f>
        <v/>
      </c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3" t="n"/>
      <c r="Y33" s="3" t="n"/>
      <c r="Z33" s="56" t="n"/>
      <c r="AA33" s="56" t="n"/>
      <c r="AB33" s="56" t="n"/>
      <c r="AC33" s="56" t="n"/>
      <c r="AD33" s="56" t="n"/>
      <c r="AE33" s="56" t="n"/>
      <c r="AF33" s="56" t="n"/>
      <c r="AG33" s="56" t="n"/>
      <c r="AH33" s="56" t="n"/>
      <c r="AI33" s="56" t="n"/>
      <c r="AJ33" s="56" t="n"/>
      <c r="AK33" s="76" t="n"/>
      <c r="AL33" s="3" t="n"/>
      <c r="AM33" s="56" t="n"/>
      <c r="AN33" s="3" t="n"/>
      <c r="AO33" s="56" t="n"/>
      <c r="AP33" s="56" t="n"/>
      <c r="AQ33" s="56" t="n"/>
      <c r="AR33" s="56" t="n"/>
      <c r="AS33" s="3" t="n"/>
    </row>
    <row r="34" ht="20" customHeight="1">
      <c r="A34" s="36" t="n"/>
      <c r="B34" s="36" t="n"/>
      <c r="C34" s="98" t="n"/>
      <c r="D34" s="53" t="n"/>
      <c r="E34" s="53" t="str">
        <f>IF(A34="","",IF(OR(AJ34="EXCLUDE",COUNTIF(AD34:AH34,"LOW")&gt;0),"EXCLUDE",IF(OR(AJ34&lt;&gt;"INCLUDE",F34&lt;&gt;"SUCCESS",D34&lt;&gt;"STORED",U34="",AP34="",AQ34="",AQ34="UNVERIFIED",AND(AP34="OFFICIAL_WEBSITE",Q34=""),AND(OR(AA34="Equipment manual / OEM instruction",AB34="Asset-specific normative"),OR(Z34&lt;&gt;"Manufacturer / supplier",AS34="",AC34=""))),"PENDING",IF(COUNTIF(AD34:AH34,"HIGH")=5,"INCLUDE","PENDING"))))</f>
        <v/>
      </c>
      <c r="F34" s="53" t="n"/>
      <c r="G34" s="74" t="n"/>
      <c r="H34" s="74" t="n"/>
      <c r="I34" s="53" t="n"/>
      <c r="J34" s="53" t="n"/>
      <c r="K34" s="75" t="str">
        <f>IF(A34="","",IF(J34="AUTO",H34,IF(J34="MANUAL",AK34,"")))</f>
        <v/>
      </c>
      <c r="L34" s="53" t="n"/>
      <c r="M34" s="2" t="n"/>
      <c r="N34" s="53" t="str">
        <f>IF(A34="","",IF(COUNTIFS('Human Operation Desktop'!$A$3:$A$502,A34,'Human Operation Desktop'!$I$3:$I$502,"&lt;&gt;APPLIED",'Human Operation Desktop'!$I$3:$I$502,"&lt;&gt;REJECTED")&gt;0,"YES","NO"))</f>
        <v/>
      </c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3" t="n"/>
      <c r="Y34" s="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76" t="n"/>
      <c r="AL34" s="3" t="n"/>
      <c r="AM34" s="53" t="n"/>
      <c r="AN34" s="3" t="n"/>
      <c r="AO34" s="53" t="n"/>
      <c r="AP34" s="53" t="n"/>
      <c r="AQ34" s="53" t="n"/>
      <c r="AR34" s="53" t="n"/>
      <c r="AS34" s="3" t="n"/>
    </row>
    <row r="35" ht="20" customHeight="1">
      <c r="A35" s="33" t="n"/>
      <c r="B35" s="33" t="n"/>
      <c r="C35" s="97" t="n"/>
      <c r="D35" s="56" t="n"/>
      <c r="E35" s="56" t="str">
        <f>IF(A35="","",IF(OR(AJ35="EXCLUDE",COUNTIF(AD35:AH35,"LOW")&gt;0),"EXCLUDE",IF(OR(AJ35&lt;&gt;"INCLUDE",F35&lt;&gt;"SUCCESS",D35&lt;&gt;"STORED",U35="",AP35="",AQ35="",AQ35="UNVERIFIED",AND(AP35="OFFICIAL_WEBSITE",Q35=""),AND(OR(AA35="Equipment manual / OEM instruction",AB35="Asset-specific normative"),OR(Z35&lt;&gt;"Manufacturer / supplier",AS35="",AC35=""))),"PENDING",IF(COUNTIF(AD35:AH35,"HIGH")=5,"INCLUDE","PENDING"))))</f>
        <v/>
      </c>
      <c r="F35" s="56" t="n"/>
      <c r="G35" s="72" t="n"/>
      <c r="H35" s="72" t="n"/>
      <c r="I35" s="56" t="n"/>
      <c r="J35" s="56" t="n"/>
      <c r="K35" s="73" t="str">
        <f>IF(A35="","",IF(J35="AUTO",H35,IF(J35="MANUAL",AK35,"")))</f>
        <v/>
      </c>
      <c r="L35" s="56" t="n"/>
      <c r="M35" s="2" t="n"/>
      <c r="N35" s="56" t="str">
        <f>IF(A35="","",IF(COUNTIFS('Human Operation Desktop'!$A$3:$A$502,A35,'Human Operation Desktop'!$I$3:$I$502,"&lt;&gt;APPLIED",'Human Operation Desktop'!$I$3:$I$502,"&lt;&gt;REJECTED")&gt;0,"YES","NO"))</f>
        <v/>
      </c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3" t="n"/>
      <c r="Y35" s="3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76" t="n"/>
      <c r="AL35" s="3" t="n"/>
      <c r="AM35" s="56" t="n"/>
      <c r="AN35" s="3" t="n"/>
      <c r="AO35" s="56" t="n"/>
      <c r="AP35" s="56" t="n"/>
      <c r="AQ35" s="56" t="n"/>
      <c r="AR35" s="56" t="n"/>
      <c r="AS35" s="3" t="n"/>
    </row>
    <row r="36" ht="47" customHeight="1">
      <c r="A36" s="36" t="n"/>
      <c r="B36" s="36" t="n"/>
      <c r="C36" s="98" t="n"/>
      <c r="D36" s="53" t="n"/>
      <c r="E36" s="53" t="str">
        <f>IF(A36="","",IF(OR(AJ36="EXCLUDE",COUNTIF(AD36:AH36,"LOW")&gt;0),"EXCLUDE",IF(OR(AJ36&lt;&gt;"INCLUDE",F36&lt;&gt;"SUCCESS",D36&lt;&gt;"STORED",U36="",AP36="",AQ36="",AQ36="UNVERIFIED",AND(AP36="OFFICIAL_WEBSITE",Q36=""),AND(OR(AA36="Equipment manual / OEM instruction",AB36="Asset-specific normative"),OR(Z36&lt;&gt;"Manufacturer / supplier",AS36="",AC36=""))),"PENDING",IF(COUNTIF(AD36:AH36,"HIGH")=5,"INCLUDE","PENDING"))))</f>
        <v/>
      </c>
      <c r="F36" s="53" t="n"/>
      <c r="G36" s="74" t="n"/>
      <c r="H36" s="74" t="n"/>
      <c r="I36" s="53" t="n"/>
      <c r="J36" s="53" t="n"/>
      <c r="K36" s="75" t="str">
        <f>IF(A36="","",IF(J36="AUTO",H36,IF(J36="MANUAL",AK36,"")))</f>
        <v/>
      </c>
      <c r="L36" s="53" t="n"/>
      <c r="M36" s="2" t="n"/>
      <c r="N36" s="53" t="str">
        <f>IF(A36="","",IF(COUNTIFS('Human Operation Desktop'!$A$3:$A$502,A36,'Human Operation Desktop'!$I$3:$I$502,"&lt;&gt;APPLIED",'Human Operation Desktop'!$I$3:$I$502,"&lt;&gt;REJECTED")&gt;0,"YES","NO"))</f>
        <v/>
      </c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3" t="n"/>
      <c r="Y36" s="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76" t="n"/>
      <c r="AL36" s="3" t="n"/>
      <c r="AM36" s="53" t="n"/>
      <c r="AN36" s="3" t="n"/>
      <c r="AO36" s="53" t="n"/>
      <c r="AP36" s="53" t="n"/>
      <c r="AQ36" s="53" t="n"/>
      <c r="AR36" s="53" t="n"/>
      <c r="AS36" s="3" t="n"/>
    </row>
    <row r="37" ht="47" customHeight="1">
      <c r="A37" s="33" t="n"/>
      <c r="B37" s="33" t="n"/>
      <c r="C37" s="97" t="n"/>
      <c r="D37" s="56" t="n"/>
      <c r="E37" s="56" t="str">
        <f>IF(A37="","",IF(OR(AJ37="EXCLUDE",COUNTIF(AD37:AH37,"LOW")&gt;0),"EXCLUDE",IF(OR(AJ37&lt;&gt;"INCLUDE",F37&lt;&gt;"SUCCESS",D37&lt;&gt;"STORED",U37="",AP37="",AQ37="",AQ37="UNVERIFIED",AND(AP37="OFFICIAL_WEBSITE",Q37=""),AND(OR(AA37="Equipment manual / OEM instruction",AB37="Asset-specific normative"),OR(Z37&lt;&gt;"Manufacturer / supplier",AS37="",AC37=""))),"PENDING",IF(COUNTIF(AD37:AH37,"HIGH")=5,"INCLUDE","PENDING"))))</f>
        <v/>
      </c>
      <c r="F37" s="56" t="n"/>
      <c r="G37" s="72" t="n"/>
      <c r="H37" s="72" t="n"/>
      <c r="I37" s="56" t="n"/>
      <c r="J37" s="56" t="n"/>
      <c r="K37" s="73" t="str">
        <f>IF(A37="","",IF(J37="AUTO",H37,IF(J37="MANUAL",AK37,"")))</f>
        <v/>
      </c>
      <c r="L37" s="56" t="n"/>
      <c r="M37" s="2" t="n"/>
      <c r="N37" s="56" t="str">
        <f>IF(A37="","",IF(COUNTIFS('Human Operation Desktop'!$A$3:$A$502,A37,'Human Operation Desktop'!$I$3:$I$502,"&lt;&gt;APPLIED",'Human Operation Desktop'!$I$3:$I$502,"&lt;&gt;REJECTED")&gt;0,"YES","NO"))</f>
        <v/>
      </c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3" t="n"/>
      <c r="Y37" s="3" t="n"/>
      <c r="Z37" s="56" t="n"/>
      <c r="AA37" s="56" t="n"/>
      <c r="AB37" s="56" t="n"/>
      <c r="AC37" s="56" t="n"/>
      <c r="AD37" s="56" t="n"/>
      <c r="AE37" s="56" t="n"/>
      <c r="AF37" s="56" t="n"/>
      <c r="AG37" s="56" t="n"/>
      <c r="AH37" s="56" t="n"/>
      <c r="AI37" s="56" t="n"/>
      <c r="AJ37" s="56" t="n"/>
      <c r="AK37" s="76" t="n"/>
      <c r="AL37" s="3" t="n"/>
      <c r="AM37" s="56" t="n"/>
      <c r="AN37" s="3" t="n"/>
      <c r="AO37" s="56" t="n"/>
      <c r="AP37" s="56" t="n"/>
      <c r="AQ37" s="56" t="n"/>
      <c r="AR37" s="56" t="n"/>
      <c r="AS37" s="3" t="n"/>
    </row>
    <row r="38" ht="47" customHeight="1">
      <c r="A38" s="36" t="n"/>
      <c r="B38" s="36" t="n"/>
      <c r="C38" s="98" t="n"/>
      <c r="D38" s="53" t="n"/>
      <c r="E38" s="53" t="str">
        <f>IF(A38="","",IF(OR(AJ38="EXCLUDE",COUNTIF(AD38:AH38,"LOW")&gt;0),"EXCLUDE",IF(OR(AJ38&lt;&gt;"INCLUDE",F38&lt;&gt;"SUCCESS",D38&lt;&gt;"STORED",U38="",AP38="",AQ38="",AQ38="UNVERIFIED",AND(AP38="OFFICIAL_WEBSITE",Q38=""),AND(OR(AA38="Equipment manual / OEM instruction",AB38="Asset-specific normative"),OR(Z38&lt;&gt;"Manufacturer / supplier",AS38="",AC38=""))),"PENDING",IF(COUNTIF(AD38:AH38,"HIGH")=5,"INCLUDE","PENDING"))))</f>
        <v/>
      </c>
      <c r="F38" s="53" t="n"/>
      <c r="G38" s="74" t="n"/>
      <c r="H38" s="74" t="n"/>
      <c r="I38" s="53" t="n"/>
      <c r="J38" s="53" t="n"/>
      <c r="K38" s="75" t="str">
        <f>IF(A38="","",IF(J38="AUTO",H38,IF(J38="MANUAL",AK38,"")))</f>
        <v/>
      </c>
      <c r="L38" s="53" t="n"/>
      <c r="M38" s="2" t="n"/>
      <c r="N38" s="53" t="str">
        <f>IF(A38="","",IF(COUNTIFS('Human Operation Desktop'!$A$3:$A$502,A38,'Human Operation Desktop'!$I$3:$I$502,"&lt;&gt;APPLIED",'Human Operation Desktop'!$I$3:$I$502,"&lt;&gt;REJECTED")&gt;0,"YES","NO"))</f>
        <v/>
      </c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3" t="n"/>
      <c r="Y38" s="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76" t="n"/>
      <c r="AL38" s="3" t="n"/>
      <c r="AM38" s="53" t="n"/>
      <c r="AN38" s="3" t="n"/>
      <c r="AO38" s="53" t="n"/>
      <c r="AP38" s="53" t="n"/>
      <c r="AQ38" s="53" t="n"/>
      <c r="AR38" s="53" t="n"/>
      <c r="AS38" s="3" t="n"/>
    </row>
    <row r="39" ht="47" customHeight="1">
      <c r="A39" s="33" t="n"/>
      <c r="B39" s="33" t="n"/>
      <c r="C39" s="97" t="n"/>
      <c r="D39" s="56" t="n"/>
      <c r="E39" s="56" t="str">
        <f>IF(A39="","",IF(OR(AJ39="EXCLUDE",COUNTIF(AD39:AH39,"LOW")&gt;0),"EXCLUDE",IF(OR(AJ39&lt;&gt;"INCLUDE",F39&lt;&gt;"SUCCESS",D39&lt;&gt;"STORED",U39="",AP39="",AQ39="",AQ39="UNVERIFIED",AND(AP39="OFFICIAL_WEBSITE",Q39=""),AND(OR(AA39="Equipment manual / OEM instruction",AB39="Asset-specific normative"),OR(Z39&lt;&gt;"Manufacturer / supplier",AS39="",AC39=""))),"PENDING",IF(COUNTIF(AD39:AH39,"HIGH")=5,"INCLUDE","PENDING"))))</f>
        <v/>
      </c>
      <c r="F39" s="56" t="n"/>
      <c r="G39" s="72" t="n"/>
      <c r="H39" s="72" t="n"/>
      <c r="I39" s="56" t="n"/>
      <c r="J39" s="56" t="n"/>
      <c r="K39" s="73" t="str">
        <f>IF(A39="","",IF(J39="AUTO",H39,IF(J39="MANUAL",AK39,"")))</f>
        <v/>
      </c>
      <c r="L39" s="56" t="n"/>
      <c r="M39" s="2" t="n"/>
      <c r="N39" s="56" t="str">
        <f>IF(A39="","",IF(COUNTIFS('Human Operation Desktop'!$A$3:$A$502,A39,'Human Operation Desktop'!$I$3:$I$502,"&lt;&gt;APPLIED",'Human Operation Desktop'!$I$3:$I$502,"&lt;&gt;REJECTED")&gt;0,"YES","NO"))</f>
        <v/>
      </c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3" t="n"/>
      <c r="Y39" s="3" t="n"/>
      <c r="Z39" s="56" t="n"/>
      <c r="AA39" s="56" t="n"/>
      <c r="AB39" s="56" t="n"/>
      <c r="AC39" s="56" t="n"/>
      <c r="AD39" s="56" t="n"/>
      <c r="AE39" s="56" t="n"/>
      <c r="AF39" s="56" t="n"/>
      <c r="AG39" s="56" t="n"/>
      <c r="AH39" s="56" t="n"/>
      <c r="AI39" s="56" t="n"/>
      <c r="AJ39" s="56" t="n"/>
      <c r="AK39" s="76" t="n"/>
      <c r="AL39" s="3" t="n"/>
      <c r="AM39" s="56" t="n"/>
      <c r="AN39" s="3" t="n"/>
      <c r="AO39" s="56" t="n"/>
      <c r="AP39" s="56" t="n"/>
      <c r="AQ39" s="56" t="n"/>
      <c r="AR39" s="56" t="n"/>
      <c r="AS39" s="3" t="n"/>
    </row>
    <row r="40" ht="20" customHeight="1">
      <c r="A40" s="36" t="n"/>
      <c r="B40" s="36" t="n"/>
      <c r="C40" s="98" t="n"/>
      <c r="D40" s="53" t="n"/>
      <c r="E40" s="53" t="str">
        <f>IF(A40="","",IF(OR(AJ40="EXCLUDE",COUNTIF(AD40:AH40,"LOW")&gt;0),"EXCLUDE",IF(OR(AJ40&lt;&gt;"INCLUDE",F40&lt;&gt;"SUCCESS",D40&lt;&gt;"STORED",U40="",AP40="",AQ40="",AQ40="UNVERIFIED",AND(AP40="OFFICIAL_WEBSITE",Q40=""),AND(OR(AA40="Equipment manual / OEM instruction",AB40="Asset-specific normative"),OR(Z40&lt;&gt;"Manufacturer / supplier",AS40="",AC40=""))),"PENDING",IF(COUNTIF(AD40:AH40,"HIGH")=5,"INCLUDE","PENDING"))))</f>
        <v/>
      </c>
      <c r="F40" s="53" t="n"/>
      <c r="G40" s="74" t="n"/>
      <c r="H40" s="74" t="n"/>
      <c r="I40" s="53" t="n"/>
      <c r="J40" s="53" t="n"/>
      <c r="K40" s="75" t="str">
        <f>IF(A40="","",IF(J40="AUTO",H40,IF(J40="MANUAL",AK40,"")))</f>
        <v/>
      </c>
      <c r="L40" s="53" t="n"/>
      <c r="M40" s="2" t="n"/>
      <c r="N40" s="53" t="str">
        <f>IF(A40="","",IF(COUNTIFS('Human Operation Desktop'!$A$3:$A$502,A40,'Human Operation Desktop'!$I$3:$I$502,"&lt;&gt;APPLIED",'Human Operation Desktop'!$I$3:$I$502,"&lt;&gt;REJECTED")&gt;0,"YES","NO"))</f>
        <v/>
      </c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3" t="n"/>
      <c r="Y40" s="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76" t="n"/>
      <c r="AL40" s="3" t="n"/>
      <c r="AM40" s="53" t="n"/>
      <c r="AN40" s="3" t="n"/>
      <c r="AO40" s="53" t="n"/>
      <c r="AP40" s="53" t="n"/>
      <c r="AQ40" s="53" t="n"/>
      <c r="AR40" s="53" t="n"/>
      <c r="AS40" s="3" t="n"/>
    </row>
    <row r="41" ht="20" customHeight="1">
      <c r="A41" s="33" t="n"/>
      <c r="B41" s="33" t="n"/>
      <c r="C41" s="97" t="n"/>
      <c r="D41" s="56" t="n"/>
      <c r="E41" s="56" t="str">
        <f>IF(A41="","",IF(OR(AJ41="EXCLUDE",COUNTIF(AD41:AH41,"LOW")&gt;0),"EXCLUDE",IF(OR(AJ41&lt;&gt;"INCLUDE",F41&lt;&gt;"SUCCESS",D41&lt;&gt;"STORED",U41="",AP41="",AQ41="",AQ41="UNVERIFIED",AND(AP41="OFFICIAL_WEBSITE",Q41=""),AND(OR(AA41="Equipment manual / OEM instruction",AB41="Asset-specific normative"),OR(Z41&lt;&gt;"Manufacturer / supplier",AS41="",AC41=""))),"PENDING",IF(COUNTIF(AD41:AH41,"HIGH")=5,"INCLUDE","PENDING"))))</f>
        <v/>
      </c>
      <c r="F41" s="56" t="n"/>
      <c r="G41" s="72" t="n"/>
      <c r="H41" s="72" t="n"/>
      <c r="I41" s="56" t="n"/>
      <c r="J41" s="56" t="n"/>
      <c r="K41" s="73" t="str">
        <f>IF(A41="","",IF(J41="AUTO",H41,IF(J41="MANUAL",AK41,"")))</f>
        <v/>
      </c>
      <c r="L41" s="56" t="n"/>
      <c r="M41" s="2" t="n"/>
      <c r="N41" s="56" t="str">
        <f>IF(A41="","",IF(COUNTIFS('Human Operation Desktop'!$A$3:$A$502,A41,'Human Operation Desktop'!$I$3:$I$502,"&lt;&gt;APPLIED",'Human Operation Desktop'!$I$3:$I$502,"&lt;&gt;REJECTED")&gt;0,"YES","NO"))</f>
        <v/>
      </c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3" t="n"/>
      <c r="Y41" s="3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76" t="n"/>
      <c r="AL41" s="3" t="n"/>
      <c r="AM41" s="56" t="n"/>
      <c r="AN41" s="56" t="n"/>
      <c r="AO41" s="56" t="n"/>
      <c r="AP41" s="56" t="n"/>
      <c r="AQ41" s="56" t="n"/>
      <c r="AR41" s="56" t="n"/>
      <c r="AS41" s="3" t="n"/>
    </row>
    <row r="42" ht="20" customHeight="1">
      <c r="A42" s="36" t="n"/>
      <c r="B42" s="36" t="n"/>
      <c r="C42" s="98" t="n"/>
      <c r="D42" s="53" t="n"/>
      <c r="E42" s="53" t="str">
        <f>IF(A42="","",IF(OR(AJ42="EXCLUDE",COUNTIF(AD42:AH42,"LOW")&gt;0),"EXCLUDE",IF(OR(AJ42&lt;&gt;"INCLUDE",F42&lt;&gt;"SUCCESS",D42&lt;&gt;"STORED",U42="",AP42="",AQ42="",AQ42="UNVERIFIED",AND(AP42="OFFICIAL_WEBSITE",Q42=""),AND(OR(AA42="Equipment manual / OEM instruction",AB42="Asset-specific normative"),OR(Z42&lt;&gt;"Manufacturer / supplier",AS42="",AC42=""))),"PENDING",IF(COUNTIF(AD42:AH42,"HIGH")=5,"INCLUDE","PENDING"))))</f>
        <v/>
      </c>
      <c r="F42" s="53" t="n"/>
      <c r="G42" s="74" t="n"/>
      <c r="H42" s="74" t="n"/>
      <c r="I42" s="53" t="n"/>
      <c r="J42" s="53" t="n"/>
      <c r="K42" s="75" t="str">
        <f>IF(A42="","",IF(J42="AUTO",H42,IF(J42="MANUAL",AK42,"")))</f>
        <v/>
      </c>
      <c r="L42" s="53" t="n"/>
      <c r="M42" s="2" t="n"/>
      <c r="N42" s="53" t="str">
        <f>IF(A42="","",IF(COUNTIFS('Human Operation Desktop'!$A$3:$A$502,A42,'Human Operation Desktop'!$I$3:$I$502,"&lt;&gt;APPLIED",'Human Operation Desktop'!$I$3:$I$502,"&lt;&gt;REJECTED")&gt;0,"YES","NO"))</f>
        <v/>
      </c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3" t="n"/>
      <c r="Y42" s="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76" t="n"/>
      <c r="AL42" s="3" t="n"/>
      <c r="AM42" s="53" t="n"/>
      <c r="AN42" s="53" t="n"/>
      <c r="AO42" s="53" t="n"/>
      <c r="AP42" s="53" t="n"/>
      <c r="AQ42" s="53" t="n"/>
      <c r="AR42" s="53" t="n"/>
      <c r="AS42" s="3" t="n"/>
    </row>
    <row r="43" ht="20" customHeight="1">
      <c r="A43" s="33" t="n"/>
      <c r="B43" s="33" t="n"/>
      <c r="C43" s="97" t="n"/>
      <c r="D43" s="56" t="n"/>
      <c r="E43" s="56" t="str">
        <f>IF(A43="","",IF(OR(AJ43="EXCLUDE",COUNTIF(AD43:AH43,"LOW")&gt;0),"EXCLUDE",IF(OR(AJ43&lt;&gt;"INCLUDE",F43&lt;&gt;"SUCCESS",D43&lt;&gt;"STORED",U43="",AP43="",AQ43="",AQ43="UNVERIFIED",AND(AP43="OFFICIAL_WEBSITE",Q43=""),AND(OR(AA43="Equipment manual / OEM instruction",AB43="Asset-specific normative"),OR(Z43&lt;&gt;"Manufacturer / supplier",AS43="",AC43=""))),"PENDING",IF(COUNTIF(AD43:AH43,"HIGH")=5,"INCLUDE","PENDING"))))</f>
        <v/>
      </c>
      <c r="F43" s="56" t="n"/>
      <c r="G43" s="72" t="n"/>
      <c r="H43" s="72" t="n"/>
      <c r="I43" s="56" t="n"/>
      <c r="J43" s="56" t="n"/>
      <c r="K43" s="73" t="str">
        <f>IF(A43="","",IF(J43="AUTO",H43,IF(J43="MANUAL",AK43,"")))</f>
        <v/>
      </c>
      <c r="L43" s="56" t="n"/>
      <c r="M43" s="2" t="n"/>
      <c r="N43" s="56" t="str">
        <f>IF(A43="","",IF(COUNTIFS('Human Operation Desktop'!$A$3:$A$502,A43,'Human Operation Desktop'!$I$3:$I$502,"&lt;&gt;APPLIED",'Human Operation Desktop'!$I$3:$I$502,"&lt;&gt;REJECTED")&gt;0,"YES","NO"))</f>
        <v/>
      </c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3" t="n"/>
      <c r="Y43" s="3" t="n"/>
      <c r="Z43" s="56" t="n"/>
      <c r="AA43" s="56" t="n"/>
      <c r="AB43" s="56" t="n"/>
      <c r="AC43" s="56" t="n"/>
      <c r="AD43" s="56" t="n"/>
      <c r="AE43" s="56" t="n"/>
      <c r="AF43" s="56" t="n"/>
      <c r="AG43" s="56" t="n"/>
      <c r="AH43" s="56" t="n"/>
      <c r="AI43" s="56" t="n"/>
      <c r="AJ43" s="56" t="n"/>
      <c r="AK43" s="76" t="n"/>
      <c r="AL43" s="3" t="n"/>
      <c r="AM43" s="56" t="n"/>
      <c r="AN43" s="56" t="n"/>
      <c r="AO43" s="56" t="n"/>
      <c r="AP43" s="56" t="n"/>
      <c r="AQ43" s="56" t="n"/>
      <c r="AR43" s="56" t="n"/>
      <c r="AS43" s="3" t="n"/>
    </row>
    <row r="44" ht="20" customHeight="1">
      <c r="A44" s="36" t="n"/>
      <c r="B44" s="36" t="n"/>
      <c r="C44" s="98" t="n"/>
      <c r="D44" s="53" t="n"/>
      <c r="E44" s="53" t="str">
        <f>IF(A44="","",IF(OR(AJ44="EXCLUDE",COUNTIF(AD44:AH44,"LOW")&gt;0),"EXCLUDE",IF(OR(AJ44&lt;&gt;"INCLUDE",F44&lt;&gt;"SUCCESS",D44&lt;&gt;"STORED",U44="",AP44="",AQ44="",AQ44="UNVERIFIED",AND(AP44="OFFICIAL_WEBSITE",Q44=""),AND(OR(AA44="Equipment manual / OEM instruction",AB44="Asset-specific normative"),OR(Z44&lt;&gt;"Manufacturer / supplier",AS44="",AC44=""))),"PENDING",IF(COUNTIF(AD44:AH44,"HIGH")=5,"INCLUDE","PENDING"))))</f>
        <v/>
      </c>
      <c r="F44" s="53" t="n"/>
      <c r="G44" s="74" t="n"/>
      <c r="H44" s="74" t="n"/>
      <c r="I44" s="53" t="n"/>
      <c r="J44" s="53" t="n"/>
      <c r="K44" s="75" t="str">
        <f>IF(A44="","",IF(J44="AUTO",H44,IF(J44="MANUAL",AK44,"")))</f>
        <v/>
      </c>
      <c r="L44" s="53" t="n"/>
      <c r="M44" s="2" t="n"/>
      <c r="N44" s="53" t="str">
        <f>IF(A44="","",IF(COUNTIFS('Human Operation Desktop'!$A$3:$A$502,A44,'Human Operation Desktop'!$I$3:$I$502,"&lt;&gt;APPLIED",'Human Operation Desktop'!$I$3:$I$502,"&lt;&gt;REJECTED")&gt;0,"YES","NO"))</f>
        <v/>
      </c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3" t="n"/>
      <c r="Y44" s="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76" t="n"/>
      <c r="AL44" s="3" t="n"/>
      <c r="AM44" s="53" t="n"/>
      <c r="AN44" s="53" t="n"/>
      <c r="AO44" s="53" t="n"/>
      <c r="AP44" s="53" t="n"/>
      <c r="AQ44" s="53" t="n"/>
      <c r="AR44" s="53" t="n"/>
      <c r="AS44" s="3" t="n"/>
    </row>
    <row r="45" ht="47" customHeight="1">
      <c r="A45" s="33" t="n"/>
      <c r="B45" s="33" t="n"/>
      <c r="C45" s="97" t="n"/>
      <c r="D45" s="56" t="n"/>
      <c r="E45" s="56" t="str">
        <f>IF(A45="","",IF(OR(AJ45="EXCLUDE",COUNTIF(AD45:AH45,"LOW")&gt;0),"EXCLUDE",IF(OR(AJ45&lt;&gt;"INCLUDE",F45&lt;&gt;"SUCCESS",D45&lt;&gt;"STORED",U45="",AP45="",AQ45="",AQ45="UNVERIFIED",AND(AP45="OFFICIAL_WEBSITE",Q45=""),AND(OR(AA45="Equipment manual / OEM instruction",AB45="Asset-specific normative"),OR(Z45&lt;&gt;"Manufacturer / supplier",AS45="",AC45=""))),"PENDING",IF(COUNTIF(AD45:AH45,"HIGH")=5,"INCLUDE","PENDING"))))</f>
        <v/>
      </c>
      <c r="F45" s="56" t="n"/>
      <c r="G45" s="72" t="n"/>
      <c r="H45" s="72" t="n"/>
      <c r="I45" s="56" t="n"/>
      <c r="J45" s="56" t="n"/>
      <c r="K45" s="73" t="str">
        <f>IF(A45="","",IF(J45="AUTO",H45,IF(J45="MANUAL",AK45,"")))</f>
        <v/>
      </c>
      <c r="L45" s="56" t="n"/>
      <c r="M45" s="2" t="n"/>
      <c r="N45" s="56" t="str">
        <f>IF(A45="","",IF(COUNTIFS('Human Operation Desktop'!$A$3:$A$502,A45,'Human Operation Desktop'!$I$3:$I$502,"&lt;&gt;APPLIED",'Human Operation Desktop'!$I$3:$I$502,"&lt;&gt;REJECTED")&gt;0,"YES","NO"))</f>
        <v/>
      </c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3" t="n"/>
      <c r="Y45" s="3" t="n"/>
      <c r="Z45" s="56" t="n"/>
      <c r="AA45" s="56" t="n"/>
      <c r="AB45" s="56" t="n"/>
      <c r="AC45" s="56" t="n"/>
      <c r="AD45" s="56" t="n"/>
      <c r="AE45" s="56" t="n"/>
      <c r="AF45" s="56" t="n"/>
      <c r="AG45" s="56" t="n"/>
      <c r="AH45" s="56" t="n"/>
      <c r="AI45" s="56" t="n"/>
      <c r="AJ45" s="56" t="n"/>
      <c r="AK45" s="76" t="n"/>
      <c r="AL45" s="3" t="n"/>
      <c r="AM45" s="56" t="n"/>
      <c r="AN45" s="56" t="n"/>
      <c r="AO45" s="56" t="n"/>
      <c r="AP45" s="56" t="n"/>
      <c r="AQ45" s="56" t="n"/>
      <c r="AR45" s="56" t="n"/>
      <c r="AS45" s="3" t="n"/>
    </row>
    <row r="46" ht="47" customHeight="1">
      <c r="A46" s="36" t="n"/>
      <c r="B46" s="36" t="n"/>
      <c r="C46" s="98" t="n"/>
      <c r="D46" s="53" t="n"/>
      <c r="E46" s="53" t="str">
        <f>IF(A46="","",IF(OR(AJ46="EXCLUDE",COUNTIF(AD46:AH46,"LOW")&gt;0),"EXCLUDE",IF(OR(AJ46&lt;&gt;"INCLUDE",F46&lt;&gt;"SUCCESS",D46&lt;&gt;"STORED",U46="",AP46="",AQ46="",AQ46="UNVERIFIED",AND(AP46="OFFICIAL_WEBSITE",Q46=""),AND(OR(AA46="Equipment manual / OEM instruction",AB46="Asset-specific normative"),OR(Z46&lt;&gt;"Manufacturer / supplier",AS46="",AC46=""))),"PENDING",IF(COUNTIF(AD46:AH46,"HIGH")=5,"INCLUDE","PENDING"))))</f>
        <v/>
      </c>
      <c r="F46" s="53" t="n"/>
      <c r="G46" s="74" t="n"/>
      <c r="H46" s="74" t="n"/>
      <c r="I46" s="53" t="n"/>
      <c r="J46" s="53" t="n"/>
      <c r="K46" s="75" t="str">
        <f>IF(A46="","",IF(J46="AUTO",H46,IF(J46="MANUAL",AK46,"")))</f>
        <v/>
      </c>
      <c r="L46" s="53" t="n"/>
      <c r="M46" s="2" t="n"/>
      <c r="N46" s="53" t="str">
        <f>IF(A46="","",IF(COUNTIFS('Human Operation Desktop'!$A$3:$A$502,A46,'Human Operation Desktop'!$I$3:$I$502,"&lt;&gt;APPLIED",'Human Operation Desktop'!$I$3:$I$502,"&lt;&gt;REJECTED")&gt;0,"YES","NO"))</f>
        <v/>
      </c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3" t="n"/>
      <c r="Y46" s="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76" t="n"/>
      <c r="AL46" s="3" t="n"/>
      <c r="AM46" s="53" t="n"/>
      <c r="AN46" s="53" t="n"/>
      <c r="AO46" s="53" t="n"/>
      <c r="AP46" s="53" t="n"/>
      <c r="AQ46" s="53" t="n"/>
      <c r="AR46" s="53" t="n"/>
      <c r="AS46" s="3" t="n"/>
    </row>
    <row r="47" ht="47" customHeight="1">
      <c r="A47" s="33" t="n"/>
      <c r="B47" s="33" t="n"/>
      <c r="C47" s="97" t="n"/>
      <c r="D47" s="56" t="n"/>
      <c r="E47" s="56" t="str">
        <f>IF(A47="","",IF(OR(AJ47="EXCLUDE",COUNTIF(AD47:AH47,"LOW")&gt;0),"EXCLUDE",IF(OR(AJ47&lt;&gt;"INCLUDE",F47&lt;&gt;"SUCCESS",D47&lt;&gt;"STORED",U47="",AP47="",AQ47="",AQ47="UNVERIFIED",AND(AP47="OFFICIAL_WEBSITE",Q47=""),AND(OR(AA47="Equipment manual / OEM instruction",AB47="Asset-specific normative"),OR(Z47&lt;&gt;"Manufacturer / supplier",AS47="",AC47=""))),"PENDING",IF(COUNTIF(AD47:AH47,"HIGH")=5,"INCLUDE","PENDING"))))</f>
        <v/>
      </c>
      <c r="F47" s="56" t="n"/>
      <c r="G47" s="72" t="n"/>
      <c r="H47" s="72" t="n"/>
      <c r="I47" s="56" t="n"/>
      <c r="J47" s="56" t="n"/>
      <c r="K47" s="73" t="str">
        <f>IF(A47="","",IF(J47="AUTO",H47,IF(J47="MANUAL",AK47,"")))</f>
        <v/>
      </c>
      <c r="L47" s="56" t="n"/>
      <c r="M47" s="2" t="n"/>
      <c r="N47" s="56" t="str">
        <f>IF(A47="","",IF(COUNTIFS('Human Operation Desktop'!$A$3:$A$502,A47,'Human Operation Desktop'!$I$3:$I$502,"&lt;&gt;APPLIED",'Human Operation Desktop'!$I$3:$I$502,"&lt;&gt;REJECTED")&gt;0,"YES","NO"))</f>
        <v/>
      </c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3" t="n"/>
      <c r="Y47" s="3" t="n"/>
      <c r="Z47" s="56" t="n"/>
      <c r="AA47" s="56" t="n"/>
      <c r="AB47" s="56" t="n"/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76" t="n"/>
      <c r="AL47" s="3" t="n"/>
      <c r="AM47" s="56" t="n"/>
      <c r="AN47" s="56" t="n"/>
      <c r="AO47" s="56" t="n"/>
      <c r="AP47" s="56" t="n"/>
      <c r="AQ47" s="56" t="n"/>
      <c r="AR47" s="56" t="n"/>
      <c r="AS47" s="3" t="n"/>
    </row>
    <row r="48" ht="20" customHeight="1">
      <c r="A48" s="36" t="n"/>
      <c r="B48" s="36" t="n"/>
      <c r="C48" s="98" t="n"/>
      <c r="D48" s="53" t="n"/>
      <c r="E48" s="53" t="str">
        <f>IF(A48="","",IF(OR(AJ48="EXCLUDE",COUNTIF(AD48:AH48,"LOW")&gt;0),"EXCLUDE",IF(OR(AJ48&lt;&gt;"INCLUDE",F48&lt;&gt;"SUCCESS",D48&lt;&gt;"STORED",U48="",AP48="",AQ48="",AQ48="UNVERIFIED",AND(AP48="OFFICIAL_WEBSITE",Q48=""),AND(OR(AA48="Equipment manual / OEM instruction",AB48="Asset-specific normative"),OR(Z48&lt;&gt;"Manufacturer / supplier",AS48="",AC48=""))),"PENDING",IF(COUNTIF(AD48:AH48,"HIGH")=5,"INCLUDE","PENDING"))))</f>
        <v/>
      </c>
      <c r="F48" s="53" t="n"/>
      <c r="G48" s="74" t="n"/>
      <c r="H48" s="74" t="n"/>
      <c r="I48" s="53" t="n"/>
      <c r="J48" s="53" t="n"/>
      <c r="K48" s="75" t="str">
        <f>IF(A48="","",IF(J48="AUTO",H48,IF(J48="MANUAL",AK48,"")))</f>
        <v/>
      </c>
      <c r="L48" s="53" t="n"/>
      <c r="M48" s="2" t="n"/>
      <c r="N48" s="53" t="str">
        <f>IF(A48="","",IF(COUNTIFS('Human Operation Desktop'!$A$3:$A$502,A48,'Human Operation Desktop'!$I$3:$I$502,"&lt;&gt;APPLIED",'Human Operation Desktop'!$I$3:$I$502,"&lt;&gt;REJECTED")&gt;0,"YES","NO"))</f>
        <v/>
      </c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3" t="n"/>
      <c r="Y48" s="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76" t="n"/>
      <c r="AL48" s="3" t="n"/>
      <c r="AM48" s="53" t="n"/>
      <c r="AN48" s="53" t="n"/>
      <c r="AO48" s="53" t="n"/>
      <c r="AP48" s="53" t="n"/>
      <c r="AQ48" s="53" t="n"/>
      <c r="AR48" s="53" t="n"/>
      <c r="AS48" s="3" t="n"/>
    </row>
    <row r="49" ht="20" customHeight="1">
      <c r="A49" s="33" t="n"/>
      <c r="B49" s="33" t="n"/>
      <c r="C49" s="97" t="n"/>
      <c r="D49" s="56" t="n"/>
      <c r="E49" s="56" t="str">
        <f>IF(A49="","",IF(OR(AJ49="EXCLUDE",COUNTIF(AD49:AH49,"LOW")&gt;0),"EXCLUDE",IF(OR(AJ49&lt;&gt;"INCLUDE",F49&lt;&gt;"SUCCESS",D49&lt;&gt;"STORED",U49="",AP49="",AQ49="",AQ49="UNVERIFIED",AND(AP49="OFFICIAL_WEBSITE",Q49=""),AND(OR(AA49="Equipment manual / OEM instruction",AB49="Asset-specific normative"),OR(Z49&lt;&gt;"Manufacturer / supplier",AS49="",AC49=""))),"PENDING",IF(COUNTIF(AD49:AH49,"HIGH")=5,"INCLUDE","PENDING"))))</f>
        <v/>
      </c>
      <c r="F49" s="56" t="n"/>
      <c r="G49" s="72" t="n"/>
      <c r="H49" s="72" t="n"/>
      <c r="I49" s="56" t="n"/>
      <c r="J49" s="56" t="n"/>
      <c r="K49" s="73" t="str">
        <f>IF(A49="","",IF(J49="AUTO",H49,IF(J49="MANUAL",AK49,"")))</f>
        <v/>
      </c>
      <c r="L49" s="56" t="n"/>
      <c r="M49" s="2" t="n"/>
      <c r="N49" s="56" t="str">
        <f>IF(A49="","",IF(COUNTIFS('Human Operation Desktop'!$A$3:$A$502,A49,'Human Operation Desktop'!$I$3:$I$502,"&lt;&gt;APPLIED",'Human Operation Desktop'!$I$3:$I$502,"&lt;&gt;REJECTED")&gt;0,"YES","NO"))</f>
        <v/>
      </c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3" t="n"/>
      <c r="Y49" s="3" t="n"/>
      <c r="Z49" s="56" t="n"/>
      <c r="AA49" s="56" t="n"/>
      <c r="AB49" s="56" t="n"/>
      <c r="AC49" s="56" t="n"/>
      <c r="AD49" s="56" t="n"/>
      <c r="AE49" s="56" t="n"/>
      <c r="AF49" s="56" t="n"/>
      <c r="AG49" s="56" t="n"/>
      <c r="AH49" s="56" t="n"/>
      <c r="AI49" s="56" t="n"/>
      <c r="AJ49" s="56" t="n"/>
      <c r="AK49" s="76" t="n"/>
      <c r="AL49" s="3" t="n"/>
      <c r="AM49" s="56" t="n"/>
      <c r="AN49" s="56" t="n"/>
      <c r="AO49" s="56" t="n"/>
      <c r="AP49" s="56" t="n"/>
      <c r="AQ49" s="56" t="n"/>
      <c r="AR49" s="56" t="n"/>
      <c r="AS49" s="3" t="n"/>
    </row>
    <row r="50" ht="47" customHeight="1">
      <c r="A50" s="36" t="n"/>
      <c r="B50" s="36" t="n"/>
      <c r="C50" s="98" t="n"/>
      <c r="D50" s="53" t="n"/>
      <c r="E50" s="53" t="str">
        <f>IF(A50="","",IF(OR(AJ50="EXCLUDE",COUNTIF(AD50:AH50,"LOW")&gt;0),"EXCLUDE",IF(OR(AJ50&lt;&gt;"INCLUDE",F50&lt;&gt;"SUCCESS",D50&lt;&gt;"STORED",U50="",AP50="",AQ50="",AQ50="UNVERIFIED",AND(AP50="OFFICIAL_WEBSITE",Q50=""),AND(OR(AA50="Equipment manual / OEM instruction",AB50="Asset-specific normative"),OR(Z50&lt;&gt;"Manufacturer / supplier",AS50="",AC50=""))),"PENDING",IF(COUNTIF(AD50:AH50,"HIGH")=5,"INCLUDE","PENDING"))))</f>
        <v/>
      </c>
      <c r="F50" s="53" t="n"/>
      <c r="G50" s="74" t="n"/>
      <c r="H50" s="74" t="n"/>
      <c r="I50" s="53" t="n"/>
      <c r="J50" s="53" t="n"/>
      <c r="K50" s="75" t="str">
        <f>IF(A50="","",IF(J50="AUTO",H50,IF(J50="MANUAL",AK50,"")))</f>
        <v/>
      </c>
      <c r="L50" s="53" t="n"/>
      <c r="M50" s="2" t="n"/>
      <c r="N50" s="53" t="str">
        <f>IF(A50="","",IF(COUNTIFS('Human Operation Desktop'!$A$3:$A$502,A50,'Human Operation Desktop'!$I$3:$I$502,"&lt;&gt;APPLIED",'Human Operation Desktop'!$I$3:$I$502,"&lt;&gt;REJECTED")&gt;0,"YES","NO"))</f>
        <v/>
      </c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3" t="n"/>
      <c r="Y50" s="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76" t="n"/>
      <c r="AL50" s="3" t="n"/>
      <c r="AM50" s="53" t="n"/>
      <c r="AN50" s="53" t="n"/>
      <c r="AO50" s="53" t="n"/>
      <c r="AP50" s="53" t="n"/>
      <c r="AQ50" s="53" t="n"/>
      <c r="AR50" s="53" t="n"/>
      <c r="AS50" s="3" t="n"/>
    </row>
    <row r="51" ht="47" customHeight="1">
      <c r="A51" s="33" t="n"/>
      <c r="B51" s="33" t="n"/>
      <c r="C51" s="97" t="n"/>
      <c r="D51" s="56" t="n"/>
      <c r="E51" s="56" t="str">
        <f>IF(A51="","",IF(OR(AJ51="EXCLUDE",COUNTIF(AD51:AH51,"LOW")&gt;0),"EXCLUDE",IF(OR(AJ51&lt;&gt;"INCLUDE",F51&lt;&gt;"SUCCESS",D51&lt;&gt;"STORED",U51="",AP51="",AQ51="",AQ51="UNVERIFIED",AND(AP51="OFFICIAL_WEBSITE",Q51=""),AND(OR(AA51="Equipment manual / OEM instruction",AB51="Asset-specific normative"),OR(Z51&lt;&gt;"Manufacturer / supplier",AS51="",AC51=""))),"PENDING",IF(COUNTIF(AD51:AH51,"HIGH")=5,"INCLUDE","PENDING"))))</f>
        <v/>
      </c>
      <c r="F51" s="56" t="n"/>
      <c r="G51" s="72" t="n"/>
      <c r="H51" s="72" t="n"/>
      <c r="I51" s="56" t="n"/>
      <c r="J51" s="56" t="n"/>
      <c r="K51" s="73" t="str">
        <f>IF(A51="","",IF(J51="AUTO",H51,IF(J51="MANUAL",AK51,"")))</f>
        <v/>
      </c>
      <c r="L51" s="56" t="n"/>
      <c r="M51" s="2" t="n"/>
      <c r="N51" s="56" t="str">
        <f>IF(A51="","",IF(COUNTIFS('Human Operation Desktop'!$A$3:$A$502,A51,'Human Operation Desktop'!$I$3:$I$502,"&lt;&gt;APPLIED",'Human Operation Desktop'!$I$3:$I$502,"&lt;&gt;REJECTED")&gt;0,"YES","NO"))</f>
        <v/>
      </c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3" t="n"/>
      <c r="Y51" s="3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76" t="n"/>
      <c r="AL51" s="3" t="n"/>
      <c r="AM51" s="56" t="n"/>
      <c r="AN51" s="56" t="n"/>
      <c r="AO51" s="56" t="n"/>
      <c r="AP51" s="56" t="n"/>
      <c r="AQ51" s="56" t="n"/>
      <c r="AR51" s="56" t="n"/>
      <c r="AS51" s="3" t="n"/>
    </row>
    <row r="52" ht="20" customHeight="1">
      <c r="A52" s="36" t="n"/>
      <c r="B52" s="36" t="n"/>
      <c r="C52" s="98" t="n"/>
      <c r="D52" s="53" t="n"/>
      <c r="E52" s="53" t="str">
        <f>IF(A52="","",IF(OR(AJ52="EXCLUDE",COUNTIF(AD52:AH52,"LOW")&gt;0),"EXCLUDE",IF(OR(AJ52&lt;&gt;"INCLUDE",F52&lt;&gt;"SUCCESS",D52&lt;&gt;"STORED",U52="",AP52="",AQ52="",AQ52="UNVERIFIED",AND(AP52="OFFICIAL_WEBSITE",Q52=""),AND(OR(AA52="Equipment manual / OEM instruction",AB52="Asset-specific normative"),OR(Z52&lt;&gt;"Manufacturer / supplier",AS52="",AC52=""))),"PENDING",IF(COUNTIF(AD52:AH52,"HIGH")=5,"INCLUDE","PENDING"))))</f>
        <v/>
      </c>
      <c r="F52" s="53" t="n"/>
      <c r="G52" s="74" t="n"/>
      <c r="H52" s="74" t="n"/>
      <c r="I52" s="53" t="n"/>
      <c r="J52" s="53" t="n"/>
      <c r="K52" s="75" t="str">
        <f>IF(A52="","",IF(J52="AUTO",H52,IF(J52="MANUAL",AK52,"")))</f>
        <v/>
      </c>
      <c r="L52" s="53" t="n"/>
      <c r="M52" s="2" t="n"/>
      <c r="N52" s="53" t="str">
        <f>IF(A52="","",IF(COUNTIFS('Human Operation Desktop'!$A$3:$A$502,A52,'Human Operation Desktop'!$I$3:$I$502,"&lt;&gt;APPLIED",'Human Operation Desktop'!$I$3:$I$502,"&lt;&gt;REJECTED")&gt;0,"YES","NO"))</f>
        <v/>
      </c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3" t="n"/>
      <c r="Y52" s="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76" t="n"/>
      <c r="AL52" s="3" t="n"/>
      <c r="AM52" s="53" t="n"/>
      <c r="AN52" s="3" t="n"/>
      <c r="AO52" s="53" t="n"/>
      <c r="AP52" s="53" t="n"/>
      <c r="AQ52" s="53" t="n"/>
      <c r="AR52" s="53" t="n"/>
      <c r="AS52" s="3" t="n"/>
    </row>
    <row r="53" ht="20" customHeight="1">
      <c r="A53" s="33" t="n"/>
      <c r="B53" s="33" t="n"/>
      <c r="C53" s="97" t="n"/>
      <c r="D53" s="56" t="n"/>
      <c r="E53" s="56" t="str">
        <f>IF(A53="","",IF(OR(AJ53="EXCLUDE",COUNTIF(AD53:AH53,"LOW")&gt;0),"EXCLUDE",IF(OR(AJ53&lt;&gt;"INCLUDE",F53&lt;&gt;"SUCCESS",D53&lt;&gt;"STORED",U53="",AP53="",AQ53="",AQ53="UNVERIFIED",AND(AP53="OFFICIAL_WEBSITE",Q53=""),AND(OR(AA53="Equipment manual / OEM instruction",AB53="Asset-specific normative"),OR(Z53&lt;&gt;"Manufacturer / supplier",AS53="",AC53=""))),"PENDING",IF(COUNTIF(AD53:AH53,"HIGH")=5,"INCLUDE","PENDING"))))</f>
        <v/>
      </c>
      <c r="F53" s="56" t="n"/>
      <c r="G53" s="72" t="n"/>
      <c r="H53" s="72" t="n"/>
      <c r="I53" s="56" t="n"/>
      <c r="J53" s="56" t="n"/>
      <c r="K53" s="73" t="str">
        <f>IF(A53="","",IF(J53="AUTO",H53,IF(J53="MANUAL",AK53,"")))</f>
        <v/>
      </c>
      <c r="L53" s="56" t="n"/>
      <c r="M53" s="2" t="n"/>
      <c r="N53" s="56" t="str">
        <f>IF(A53="","",IF(COUNTIFS('Human Operation Desktop'!$A$3:$A$502,A53,'Human Operation Desktop'!$I$3:$I$502,"&lt;&gt;APPLIED",'Human Operation Desktop'!$I$3:$I$502,"&lt;&gt;REJECTED")&gt;0,"YES","NO"))</f>
        <v/>
      </c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3" t="n"/>
      <c r="Y53" s="3" t="n"/>
      <c r="Z53" s="56" t="n"/>
      <c r="AA53" s="56" t="n"/>
      <c r="AB53" s="56" t="n"/>
      <c r="AC53" s="56" t="n"/>
      <c r="AD53" s="56" t="n"/>
      <c r="AE53" s="56" t="n"/>
      <c r="AF53" s="56" t="n"/>
      <c r="AG53" s="56" t="n"/>
      <c r="AH53" s="56" t="n"/>
      <c r="AI53" s="56" t="n"/>
      <c r="AJ53" s="56" t="n"/>
      <c r="AK53" s="76" t="n"/>
      <c r="AL53" s="3" t="n"/>
      <c r="AM53" s="56" t="n"/>
      <c r="AN53" s="3" t="n"/>
      <c r="AO53" s="56" t="n"/>
      <c r="AP53" s="56" t="n"/>
      <c r="AQ53" s="56" t="n"/>
      <c r="AR53" s="56" t="n"/>
      <c r="AS53" s="3" t="n"/>
    </row>
    <row r="54" ht="20" customHeight="1">
      <c r="A54" s="36" t="n"/>
      <c r="B54" s="36" t="n"/>
      <c r="C54" s="98" t="n"/>
      <c r="D54" s="53" t="n"/>
      <c r="E54" s="53" t="str">
        <f>IF(A54="","",IF(OR(AJ54="EXCLUDE",COUNTIF(AD54:AH54,"LOW")&gt;0),"EXCLUDE",IF(OR(AJ54&lt;&gt;"INCLUDE",F54&lt;&gt;"SUCCESS",D54&lt;&gt;"STORED",U54="",AP54="",AQ54="",AQ54="UNVERIFIED",AND(AP54="OFFICIAL_WEBSITE",Q54=""),AND(OR(AA54="Equipment manual / OEM instruction",AB54="Asset-specific normative"),OR(Z54&lt;&gt;"Manufacturer / supplier",AS54="",AC54=""))),"PENDING",IF(COUNTIF(AD54:AH54,"HIGH")=5,"INCLUDE","PENDING"))))</f>
        <v/>
      </c>
      <c r="F54" s="53" t="n"/>
      <c r="G54" s="74" t="n"/>
      <c r="H54" s="74" t="n"/>
      <c r="I54" s="53" t="n"/>
      <c r="J54" s="53" t="n"/>
      <c r="K54" s="75" t="str">
        <f>IF(A54="","",IF(J54="AUTO",H54,IF(J54="MANUAL",AK54,"")))</f>
        <v/>
      </c>
      <c r="L54" s="53" t="n"/>
      <c r="M54" s="2" t="n"/>
      <c r="N54" s="53" t="str">
        <f>IF(A54="","",IF(COUNTIFS('Human Operation Desktop'!$A$3:$A$502,A54,'Human Operation Desktop'!$I$3:$I$502,"&lt;&gt;APPLIED",'Human Operation Desktop'!$I$3:$I$502,"&lt;&gt;REJECTED")&gt;0,"YES","NO"))</f>
        <v/>
      </c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3" t="n"/>
      <c r="Y54" s="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76" t="n"/>
      <c r="AL54" s="3" t="n"/>
      <c r="AM54" s="53" t="n"/>
      <c r="AN54" s="3" t="n"/>
      <c r="AO54" s="53" t="n"/>
      <c r="AP54" s="53" t="n"/>
      <c r="AQ54" s="53" t="n"/>
      <c r="AR54" s="53" t="n"/>
      <c r="AS54" s="3" t="n"/>
    </row>
    <row r="55" ht="20" customHeight="1">
      <c r="A55" s="33" t="n"/>
      <c r="B55" s="33" t="n"/>
      <c r="C55" s="97" t="n"/>
      <c r="D55" s="56" t="n"/>
      <c r="E55" s="56" t="str">
        <f>IF(A55="","",IF(OR(AJ55="EXCLUDE",COUNTIF(AD55:AH55,"LOW")&gt;0),"EXCLUDE",IF(OR(AJ55&lt;&gt;"INCLUDE",F55&lt;&gt;"SUCCESS",D55&lt;&gt;"STORED",U55="",AP55="",AQ55="",AQ55="UNVERIFIED",AND(AP55="OFFICIAL_WEBSITE",Q55=""),AND(OR(AA55="Equipment manual / OEM instruction",AB55="Asset-specific normative"),OR(Z55&lt;&gt;"Manufacturer / supplier",AS55="",AC55=""))),"PENDING",IF(COUNTIF(AD55:AH55,"HIGH")=5,"INCLUDE","PENDING"))))</f>
        <v/>
      </c>
      <c r="F55" s="56" t="n"/>
      <c r="G55" s="72" t="n"/>
      <c r="H55" s="72" t="n"/>
      <c r="I55" s="56" t="n"/>
      <c r="J55" s="56" t="n"/>
      <c r="K55" s="73" t="str">
        <f>IF(A55="","",IF(J55="AUTO",H55,IF(J55="MANUAL",AK55,"")))</f>
        <v/>
      </c>
      <c r="L55" s="56" t="n"/>
      <c r="M55" s="2" t="n"/>
      <c r="N55" s="56" t="str">
        <f>IF(A55="","",IF(COUNTIFS('Human Operation Desktop'!$A$3:$A$502,A55,'Human Operation Desktop'!$I$3:$I$502,"&lt;&gt;APPLIED",'Human Operation Desktop'!$I$3:$I$502,"&lt;&gt;REJECTED")&gt;0,"YES","NO"))</f>
        <v/>
      </c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3" t="n"/>
      <c r="Y55" s="3" t="n"/>
      <c r="Z55" s="56" t="n"/>
      <c r="AA55" s="56" t="n"/>
      <c r="AB55" s="56" t="n"/>
      <c r="AC55" s="56" t="n"/>
      <c r="AD55" s="56" t="n"/>
      <c r="AE55" s="56" t="n"/>
      <c r="AF55" s="56" t="n"/>
      <c r="AG55" s="56" t="n"/>
      <c r="AH55" s="56" t="n"/>
      <c r="AI55" s="56" t="n"/>
      <c r="AJ55" s="56" t="n"/>
      <c r="AK55" s="76" t="n"/>
      <c r="AL55" s="3" t="n"/>
      <c r="AM55" s="56" t="n"/>
      <c r="AN55" s="3" t="n"/>
      <c r="AO55" s="56" t="n"/>
      <c r="AP55" s="56" t="n"/>
      <c r="AQ55" s="56" t="n"/>
      <c r="AR55" s="56" t="n"/>
      <c r="AS55" s="3" t="n"/>
    </row>
    <row r="56" ht="20" customHeight="1">
      <c r="A56" s="36" t="n"/>
      <c r="B56" s="36" t="n"/>
      <c r="C56" s="98" t="n"/>
      <c r="D56" s="53" t="n"/>
      <c r="E56" s="53" t="str">
        <f>IF(A56="","",IF(OR(AJ56="EXCLUDE",COUNTIF(AD56:AH56,"LOW")&gt;0),"EXCLUDE",IF(OR(AJ56&lt;&gt;"INCLUDE",F56&lt;&gt;"SUCCESS",D56&lt;&gt;"STORED",U56="",AP56="",AQ56="",AQ56="UNVERIFIED",AND(AP56="OFFICIAL_WEBSITE",Q56=""),AND(OR(AA56="Equipment manual / OEM instruction",AB56="Asset-specific normative"),OR(Z56&lt;&gt;"Manufacturer / supplier",AS56="",AC56=""))),"PENDING",IF(COUNTIF(AD56:AH56,"HIGH")=5,"INCLUDE","PENDING"))))</f>
        <v/>
      </c>
      <c r="F56" s="53" t="n"/>
      <c r="G56" s="74" t="n"/>
      <c r="H56" s="74" t="n"/>
      <c r="I56" s="53" t="n"/>
      <c r="J56" s="53" t="n"/>
      <c r="K56" s="75" t="str">
        <f>IF(A56="","",IF(J56="AUTO",H56,IF(J56="MANUAL",AK56,"")))</f>
        <v/>
      </c>
      <c r="L56" s="53" t="n"/>
      <c r="M56" s="2" t="n"/>
      <c r="N56" s="53" t="str">
        <f>IF(A56="","",IF(COUNTIFS('Human Operation Desktop'!$A$3:$A$502,A56,'Human Operation Desktop'!$I$3:$I$502,"&lt;&gt;APPLIED",'Human Operation Desktop'!$I$3:$I$502,"&lt;&gt;REJECTED")&gt;0,"YES","NO"))</f>
        <v/>
      </c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76" t="n"/>
      <c r="AL56" s="3" t="n"/>
      <c r="AM56" s="53" t="n"/>
      <c r="AN56" s="3" t="n"/>
      <c r="AO56" s="53" t="n"/>
      <c r="AP56" s="53" t="n"/>
      <c r="AQ56" s="53" t="n"/>
      <c r="AR56" s="53" t="n"/>
      <c r="AS56" s="3" t="n"/>
    </row>
    <row r="57" ht="20" customHeight="1">
      <c r="A57" s="33" t="n"/>
      <c r="B57" s="33" t="n"/>
      <c r="C57" s="97" t="n"/>
      <c r="D57" s="56" t="n"/>
      <c r="E57" s="56" t="str">
        <f>IF(A57="","",IF(OR(AJ57="EXCLUDE",COUNTIF(AD57:AH57,"LOW")&gt;0),"EXCLUDE",IF(OR(AJ57&lt;&gt;"INCLUDE",F57&lt;&gt;"SUCCESS",D57&lt;&gt;"STORED",U57="",AP57="",AQ57="",AQ57="UNVERIFIED",AND(AP57="OFFICIAL_WEBSITE",Q57=""),AND(OR(AA57="Equipment manual / OEM instruction",AB57="Asset-specific normative"),OR(Z57&lt;&gt;"Manufacturer / supplier",AS57="",AC57=""))),"PENDING",IF(COUNTIF(AD57:AH57,"HIGH")=5,"INCLUDE","PENDING"))))</f>
        <v/>
      </c>
      <c r="F57" s="56" t="n"/>
      <c r="G57" s="72" t="n"/>
      <c r="H57" s="72" t="n"/>
      <c r="I57" s="56" t="n"/>
      <c r="J57" s="56" t="n"/>
      <c r="K57" s="73" t="str">
        <f>IF(A57="","",IF(J57="AUTO",H57,IF(J57="MANUAL",AK57,"")))</f>
        <v/>
      </c>
      <c r="L57" s="56" t="n"/>
      <c r="M57" s="2" t="n"/>
      <c r="N57" s="56" t="str">
        <f>IF(A57="","",IF(COUNTIFS('Human Operation Desktop'!$A$3:$A$502,A57,'Human Operation Desktop'!$I$3:$I$502,"&lt;&gt;APPLIED",'Human Operation Desktop'!$I$3:$I$502,"&lt;&gt;REJECTED")&gt;0,"YES","NO"))</f>
        <v/>
      </c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3" t="n"/>
      <c r="Y57" s="3" t="n"/>
      <c r="Z57" s="56" t="n"/>
      <c r="AA57" s="56" t="n"/>
      <c r="AB57" s="56" t="n"/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76" t="n"/>
      <c r="AL57" s="3" t="n"/>
      <c r="AM57" s="56" t="n"/>
      <c r="AN57" s="56" t="n"/>
      <c r="AO57" s="56" t="n"/>
      <c r="AP57" s="56" t="n"/>
      <c r="AQ57" s="56" t="n"/>
      <c r="AR57" s="56" t="n"/>
      <c r="AS57" s="3" t="n"/>
    </row>
    <row r="58" ht="47" customHeight="1">
      <c r="A58" s="36" t="n"/>
      <c r="B58" s="36" t="n"/>
      <c r="C58" s="98" t="n"/>
      <c r="D58" s="53" t="n"/>
      <c r="E58" s="53" t="str">
        <f>IF(A58="","",IF(OR(AJ58="EXCLUDE",COUNTIF(AD58:AH58,"LOW")&gt;0),"EXCLUDE",IF(OR(AJ58&lt;&gt;"INCLUDE",F58&lt;&gt;"SUCCESS",D58&lt;&gt;"STORED",U58="",AP58="",AQ58="",AQ58="UNVERIFIED",AND(AP58="OFFICIAL_WEBSITE",Q58=""),AND(OR(AA58="Equipment manual / OEM instruction",AB58="Asset-specific normative"),OR(Z58&lt;&gt;"Manufacturer / supplier",AS58="",AC58=""))),"PENDING",IF(COUNTIF(AD58:AH58,"HIGH")=5,"INCLUDE","PENDING"))))</f>
        <v/>
      </c>
      <c r="F58" s="53" t="n"/>
      <c r="G58" s="74" t="n"/>
      <c r="H58" s="74" t="n"/>
      <c r="I58" s="53" t="n"/>
      <c r="J58" s="53" t="n"/>
      <c r="K58" s="75" t="str">
        <f>IF(A58="","",IF(J58="AUTO",H58,IF(J58="MANUAL",AK58,"")))</f>
        <v/>
      </c>
      <c r="L58" s="53" t="n"/>
      <c r="M58" s="2" t="n"/>
      <c r="N58" s="53" t="str">
        <f>IF(A58="","",IF(COUNTIFS('Human Operation Desktop'!$A$3:$A$502,A58,'Human Operation Desktop'!$I$3:$I$502,"&lt;&gt;APPLIED",'Human Operation Desktop'!$I$3:$I$502,"&lt;&gt;REJECTED")&gt;0,"YES","NO"))</f>
        <v/>
      </c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3" t="n"/>
      <c r="Y58" s="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76" t="n"/>
      <c r="AL58" s="3" t="n"/>
      <c r="AM58" s="53" t="n"/>
      <c r="AN58" s="53" t="n"/>
      <c r="AO58" s="53" t="n"/>
      <c r="AP58" s="53" t="n"/>
      <c r="AQ58" s="53" t="n"/>
      <c r="AR58" s="53" t="n"/>
      <c r="AS58" s="3" t="n"/>
    </row>
    <row r="59" ht="47" customHeight="1">
      <c r="A59" s="33" t="n"/>
      <c r="B59" s="33" t="n"/>
      <c r="C59" s="97" t="n"/>
      <c r="D59" s="56" t="n"/>
      <c r="E59" s="56" t="str">
        <f>IF(A59="","",IF(OR(AJ59="EXCLUDE",COUNTIF(AD59:AH59,"LOW")&gt;0),"EXCLUDE",IF(OR(AJ59&lt;&gt;"INCLUDE",F59&lt;&gt;"SUCCESS",D59&lt;&gt;"STORED",U59="",AP59="",AQ59="",AQ59="UNVERIFIED",AND(AP59="OFFICIAL_WEBSITE",Q59=""),AND(OR(AA59="Equipment manual / OEM instruction",AB59="Asset-specific normative"),OR(Z59&lt;&gt;"Manufacturer / supplier",AS59="",AC59=""))),"PENDING",IF(COUNTIF(AD59:AH59,"HIGH")=5,"INCLUDE","PENDING"))))</f>
        <v/>
      </c>
      <c r="F59" s="56" t="n"/>
      <c r="G59" s="72" t="n"/>
      <c r="H59" s="72" t="n"/>
      <c r="I59" s="56" t="n"/>
      <c r="J59" s="56" t="n"/>
      <c r="K59" s="73" t="str">
        <f>IF(A59="","",IF(J59="AUTO",H59,IF(J59="MANUAL",AK59,"")))</f>
        <v/>
      </c>
      <c r="L59" s="56" t="n"/>
      <c r="M59" s="2" t="n"/>
      <c r="N59" s="56" t="str">
        <f>IF(A59="","",IF(COUNTIFS('Human Operation Desktop'!$A$3:$A$502,A59,'Human Operation Desktop'!$I$3:$I$502,"&lt;&gt;APPLIED",'Human Operation Desktop'!$I$3:$I$502,"&lt;&gt;REJECTED")&gt;0,"YES","NO"))</f>
        <v/>
      </c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3" t="n"/>
      <c r="Z59" s="56" t="n"/>
      <c r="AA59" s="56" t="n"/>
      <c r="AB59" s="56" t="n"/>
      <c r="AC59" s="56" t="n"/>
      <c r="AD59" s="56" t="n"/>
      <c r="AE59" s="56" t="n"/>
      <c r="AF59" s="56" t="n"/>
      <c r="AG59" s="56" t="n"/>
      <c r="AH59" s="56" t="n"/>
      <c r="AI59" s="56" t="n"/>
      <c r="AJ59" s="56" t="n"/>
      <c r="AK59" s="76" t="n"/>
      <c r="AL59" s="3" t="n"/>
      <c r="AM59" s="56" t="n"/>
      <c r="AN59" s="56" t="n"/>
      <c r="AO59" s="56" t="n"/>
      <c r="AP59" s="56" t="n"/>
      <c r="AQ59" s="56" t="n"/>
      <c r="AR59" s="56" t="n"/>
      <c r="AS59" s="3" t="n"/>
    </row>
    <row r="60" ht="20" customHeight="1">
      <c r="A60" s="36" t="n"/>
      <c r="B60" s="36" t="n"/>
      <c r="C60" s="98" t="n"/>
      <c r="D60" s="53" t="n"/>
      <c r="E60" s="53" t="str">
        <f>IF(A60="","",IF(OR(AJ60="EXCLUDE",COUNTIF(AD60:AH60,"LOW")&gt;0),"EXCLUDE",IF(OR(AJ60&lt;&gt;"INCLUDE",F60&lt;&gt;"SUCCESS",D60&lt;&gt;"STORED",U60="",AP60="",AQ60="",AQ60="UNVERIFIED",AND(AP60="OFFICIAL_WEBSITE",Q60=""),AND(OR(AA60="Equipment manual / OEM instruction",AB60="Asset-specific normative"),OR(Z60&lt;&gt;"Manufacturer / supplier",AS60="",AC60=""))),"PENDING",IF(COUNTIF(AD60:AH60,"HIGH")=5,"INCLUDE","PENDING"))))</f>
        <v/>
      </c>
      <c r="F60" s="53" t="n"/>
      <c r="G60" s="74" t="n"/>
      <c r="H60" s="74" t="n"/>
      <c r="I60" s="53" t="n"/>
      <c r="J60" s="53" t="n"/>
      <c r="K60" s="75" t="str">
        <f>IF(A60="","",IF(J60="AUTO",H60,IF(J60="MANUAL",AK60,"")))</f>
        <v/>
      </c>
      <c r="L60" s="53" t="n"/>
      <c r="M60" s="2" t="n"/>
      <c r="N60" s="53" t="str">
        <f>IF(A60="","",IF(COUNTIFS('Human Operation Desktop'!$A$3:$A$502,A60,'Human Operation Desktop'!$I$3:$I$502,"&lt;&gt;APPLIED",'Human Operation Desktop'!$I$3:$I$502,"&lt;&gt;REJECTED")&gt;0,"YES","NO"))</f>
        <v/>
      </c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3" t="n"/>
      <c r="Y60" s="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76" t="n"/>
      <c r="AL60" s="3" t="n"/>
      <c r="AM60" s="53" t="n"/>
      <c r="AN60" s="3" t="n"/>
      <c r="AO60" s="53" t="n"/>
      <c r="AP60" s="53" t="n"/>
      <c r="AQ60" s="53" t="n"/>
      <c r="AR60" s="53" t="n"/>
      <c r="AS60" s="3" t="n"/>
    </row>
    <row r="61" ht="20" customHeight="1">
      <c r="A61" s="33" t="n"/>
      <c r="B61" s="33" t="n"/>
      <c r="C61" s="97" t="n"/>
      <c r="D61" s="56" t="n"/>
      <c r="E61" s="56" t="str">
        <f>IF(A61="","",IF(OR(AJ61="EXCLUDE",COUNTIF(AD61:AH61,"LOW")&gt;0),"EXCLUDE",IF(OR(AJ61&lt;&gt;"INCLUDE",F61&lt;&gt;"SUCCESS",D61&lt;&gt;"STORED",U61="",AP61="",AQ61="",AQ61="UNVERIFIED",AND(AP61="OFFICIAL_WEBSITE",Q61=""),AND(OR(AA61="Equipment manual / OEM instruction",AB61="Asset-specific normative"),OR(Z61&lt;&gt;"Manufacturer / supplier",AS61="",AC61=""))),"PENDING",IF(COUNTIF(AD61:AH61,"HIGH")=5,"INCLUDE","PENDING"))))</f>
        <v/>
      </c>
      <c r="F61" s="56" t="n"/>
      <c r="G61" s="72" t="n"/>
      <c r="H61" s="72" t="n"/>
      <c r="I61" s="56" t="n"/>
      <c r="J61" s="56" t="n"/>
      <c r="K61" s="73" t="str">
        <f>IF(A61="","",IF(J61="AUTO",H61,IF(J61="MANUAL",AK61,"")))</f>
        <v/>
      </c>
      <c r="L61" s="56" t="n"/>
      <c r="M61" s="2" t="n"/>
      <c r="N61" s="56" t="str">
        <f>IF(A61="","",IF(COUNTIFS('Human Operation Desktop'!$A$3:$A$502,A61,'Human Operation Desktop'!$I$3:$I$502,"&lt;&gt;APPLIED",'Human Operation Desktop'!$I$3:$I$502,"&lt;&gt;REJECTED")&gt;0,"YES","NO"))</f>
        <v/>
      </c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3" t="n"/>
      <c r="Y61" s="3" t="n"/>
      <c r="Z61" s="56" t="n"/>
      <c r="AA61" s="56" t="n"/>
      <c r="AB61" s="56" t="n"/>
      <c r="AC61" s="56" t="n"/>
      <c r="AD61" s="56" t="n"/>
      <c r="AE61" s="56" t="n"/>
      <c r="AF61" s="56" t="n"/>
      <c r="AG61" s="56" t="n"/>
      <c r="AH61" s="56" t="n"/>
      <c r="AI61" s="56" t="n"/>
      <c r="AJ61" s="56" t="n"/>
      <c r="AK61" s="76" t="n"/>
      <c r="AL61" s="3" t="n"/>
      <c r="AM61" s="56" t="n"/>
      <c r="AN61" s="3" t="n"/>
      <c r="AO61" s="56" t="n"/>
      <c r="AP61" s="56" t="n"/>
      <c r="AQ61" s="56" t="n"/>
      <c r="AR61" s="56" t="n"/>
      <c r="AS61" s="3" t="n"/>
    </row>
    <row r="62" ht="20" customHeight="1">
      <c r="A62" s="36" t="n"/>
      <c r="B62" s="36" t="n"/>
      <c r="C62" s="98" t="n"/>
      <c r="D62" s="53" t="n"/>
      <c r="E62" s="53" t="str">
        <f>IF(A62="","",IF(OR(AJ62="EXCLUDE",COUNTIF(AD62:AH62,"LOW")&gt;0),"EXCLUDE",IF(OR(AJ62&lt;&gt;"INCLUDE",F62&lt;&gt;"SUCCESS",D62&lt;&gt;"STORED",U62="",AP62="",AQ62="",AQ62="UNVERIFIED",AND(AP62="OFFICIAL_WEBSITE",Q62=""),AND(OR(AA62="Equipment manual / OEM instruction",AB62="Asset-specific normative"),OR(Z62&lt;&gt;"Manufacturer / supplier",AS62="",AC62=""))),"PENDING",IF(COUNTIF(AD62:AH62,"HIGH")=5,"INCLUDE","PENDING"))))</f>
        <v/>
      </c>
      <c r="F62" s="53" t="n"/>
      <c r="G62" s="74" t="n"/>
      <c r="H62" s="74" t="n"/>
      <c r="I62" s="53" t="n"/>
      <c r="J62" s="53" t="n"/>
      <c r="K62" s="75" t="str">
        <f>IF(A62="","",IF(J62="AUTO",H62,IF(J62="MANUAL",AK62,"")))</f>
        <v/>
      </c>
      <c r="L62" s="53" t="n"/>
      <c r="M62" s="2" t="n"/>
      <c r="N62" s="53" t="str">
        <f>IF(A62="","",IF(COUNTIFS('Human Operation Desktop'!$A$3:$A$502,A62,'Human Operation Desktop'!$I$3:$I$502,"&lt;&gt;APPLIED",'Human Operation Desktop'!$I$3:$I$502,"&lt;&gt;REJECTED")&gt;0,"YES","NO"))</f>
        <v/>
      </c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3" t="n"/>
      <c r="Y62" s="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76" t="n"/>
      <c r="AL62" s="3" t="n"/>
      <c r="AM62" s="53" t="n"/>
      <c r="AN62" s="3" t="n"/>
      <c r="AO62" s="53" t="n"/>
      <c r="AP62" s="53" t="n"/>
      <c r="AQ62" s="53" t="n"/>
      <c r="AR62" s="53" t="n"/>
      <c r="AS62" s="3" t="n"/>
    </row>
    <row r="63" ht="47" customHeight="1">
      <c r="A63" s="33" t="n"/>
      <c r="B63" s="33" t="n"/>
      <c r="C63" s="97" t="n"/>
      <c r="D63" s="56" t="n"/>
      <c r="E63" s="56" t="str">
        <f>IF(A63="","",IF(OR(AJ63="EXCLUDE",COUNTIF(AD63:AH63,"LOW")&gt;0),"EXCLUDE",IF(OR(AJ63&lt;&gt;"INCLUDE",F63&lt;&gt;"SUCCESS",D63&lt;&gt;"STORED",U63="",AP63="",AQ63="",AQ63="UNVERIFIED",AND(AP63="OFFICIAL_WEBSITE",Q63=""),AND(OR(AA63="Equipment manual / OEM instruction",AB63="Asset-specific normative"),OR(Z63&lt;&gt;"Manufacturer / supplier",AS63="",AC63=""))),"PENDING",IF(COUNTIF(AD63:AH63,"HIGH")=5,"INCLUDE","PENDING"))))</f>
        <v/>
      </c>
      <c r="F63" s="56" t="n"/>
      <c r="G63" s="81" t="n"/>
      <c r="H63" s="81" t="n"/>
      <c r="I63" s="56" t="n"/>
      <c r="J63" s="56" t="n"/>
      <c r="K63" s="73" t="str">
        <f>IF(A63="","",IF(J63="AUTO",H63,IF(J63="MANUAL",AK63,"")))</f>
        <v/>
      </c>
      <c r="L63" s="56" t="n"/>
      <c r="M63" s="56" t="n"/>
      <c r="N63" s="56" t="str">
        <f>IF(A63="","",IF(COUNTIFS('Human Operation Desktop'!$A$3:$A$502,A63,'Human Operation Desktop'!$I$3:$I$502,"&lt;&gt;APPLIED",'Human Operation Desktop'!$I$3:$I$502,"&lt;&gt;REJECTED")&gt;0,"YES","NO"))</f>
        <v/>
      </c>
      <c r="O63" s="2" t="n"/>
      <c r="P63" s="56" t="n"/>
      <c r="Q63" s="56" t="n"/>
      <c r="R63" s="3" t="n"/>
      <c r="S63" s="56" t="n"/>
      <c r="T63" s="56" t="n"/>
      <c r="U63" s="56" t="n"/>
      <c r="V63" s="56" t="n"/>
      <c r="W63" s="56" t="n"/>
      <c r="X63" s="56" t="n"/>
      <c r="Y63" s="3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76" t="n"/>
      <c r="AL63" s="3" t="n"/>
      <c r="AM63" s="56" t="n"/>
      <c r="AN63" s="56" t="n"/>
      <c r="AO63" s="56" t="n"/>
      <c r="AP63" s="56" t="n"/>
      <c r="AQ63" s="56" t="n"/>
      <c r="AR63" s="56" t="n"/>
      <c r="AS63" s="3" t="n"/>
    </row>
    <row r="64" ht="47" customHeight="1">
      <c r="A64" s="36" t="n"/>
      <c r="B64" s="36" t="n"/>
      <c r="C64" s="98" t="n"/>
      <c r="D64" s="53" t="n"/>
      <c r="E64" s="53" t="str">
        <f>IF(A64="","",IF(OR(AJ64="EXCLUDE",COUNTIF(AD64:AH64,"LOW")&gt;0),"EXCLUDE",IF(OR(AJ64&lt;&gt;"INCLUDE",F64&lt;&gt;"SUCCESS",D64&lt;&gt;"STORED",U64="",AP64="",AQ64="",AQ64="UNVERIFIED",AND(AP64="OFFICIAL_WEBSITE",Q64=""),AND(OR(AA64="Equipment manual / OEM instruction",AB64="Asset-specific normative"),OR(Z64&lt;&gt;"Manufacturer / supplier",AS64="",AC64=""))),"PENDING",IF(COUNTIF(AD64:AH64,"HIGH")=5,"INCLUDE","PENDING"))))</f>
        <v/>
      </c>
      <c r="F64" s="53" t="n"/>
      <c r="G64" s="81" t="n"/>
      <c r="H64" s="81" t="n"/>
      <c r="I64" s="53" t="n"/>
      <c r="J64" s="53" t="n"/>
      <c r="K64" s="75" t="str">
        <f>IF(A64="","",IF(J64="AUTO",H64,IF(J64="MANUAL",AK64,"")))</f>
        <v/>
      </c>
      <c r="L64" s="53" t="n"/>
      <c r="M64" s="53" t="n"/>
      <c r="N64" s="53" t="str">
        <f>IF(A64="","",IF(COUNTIFS('Human Operation Desktop'!$A$3:$A$502,A64,'Human Operation Desktop'!$I$3:$I$502,"&lt;&gt;APPLIED",'Human Operation Desktop'!$I$3:$I$502,"&lt;&gt;REJECTED")&gt;0,"YES","NO"))</f>
        <v/>
      </c>
      <c r="O64" s="2" t="n"/>
      <c r="P64" s="53" t="n"/>
      <c r="Q64" s="53" t="n"/>
      <c r="R64" s="3" t="n"/>
      <c r="S64" s="53" t="n"/>
      <c r="T64" s="53" t="n"/>
      <c r="U64" s="53" t="n"/>
      <c r="V64" s="53" t="n"/>
      <c r="W64" s="53" t="n"/>
      <c r="X64" s="53" t="n"/>
      <c r="Y64" s="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76" t="n"/>
      <c r="AL64" s="3" t="n"/>
      <c r="AM64" s="53" t="n"/>
      <c r="AN64" s="53" t="n"/>
      <c r="AO64" s="53" t="n"/>
      <c r="AP64" s="53" t="n"/>
      <c r="AQ64" s="53" t="n"/>
      <c r="AR64" s="53" t="n"/>
      <c r="AS64" s="3" t="n"/>
    </row>
    <row r="65" ht="20" customHeight="1">
      <c r="A65" s="33" t="n"/>
      <c r="B65" s="33" t="n"/>
      <c r="C65" s="97" t="n"/>
      <c r="D65" s="56" t="n"/>
      <c r="E65" s="56" t="str">
        <f>IF(A65="","",IF(OR(AJ65="EXCLUDE",COUNTIF(AD65:AH65,"LOW")&gt;0),"EXCLUDE",IF(OR(AJ65&lt;&gt;"INCLUDE",F65&lt;&gt;"SUCCESS",D65&lt;&gt;"STORED",U65="",AP65="",AQ65="",AQ65="UNVERIFIED",AND(AP65="OFFICIAL_WEBSITE",Q65=""),AND(OR(AA65="Equipment manual / OEM instruction",AB65="Asset-specific normative"),OR(Z65&lt;&gt;"Manufacturer / supplier",AS65="",AC65=""))),"PENDING",IF(COUNTIF(AD65:AH65,"HIGH")=5,"INCLUDE","PENDING"))))</f>
        <v/>
      </c>
      <c r="F65" s="56" t="n"/>
      <c r="G65" s="81" t="n"/>
      <c r="H65" s="81" t="n"/>
      <c r="I65" s="56" t="n"/>
      <c r="J65" s="56" t="n"/>
      <c r="K65" s="73" t="str">
        <f>IF(A65="","",IF(J65="AUTO",H65,IF(J65="MANUAL",AK65,"")))</f>
        <v/>
      </c>
      <c r="L65" s="56" t="n"/>
      <c r="M65" s="56" t="n"/>
      <c r="N65" s="56" t="str">
        <f>IF(A65="","",IF(COUNTIFS('Human Operation Desktop'!$A$3:$A$502,A65,'Human Operation Desktop'!$I$3:$I$502,"&lt;&gt;APPLIED",'Human Operation Desktop'!$I$3:$I$502,"&lt;&gt;REJECTED")&gt;0,"YES","NO"))</f>
        <v/>
      </c>
      <c r="O65" s="2" t="n"/>
      <c r="P65" s="56" t="n"/>
      <c r="Q65" s="56" t="n"/>
      <c r="R65" s="3" t="n"/>
      <c r="S65" s="56" t="n"/>
      <c r="T65" s="56" t="n"/>
      <c r="U65" s="56" t="n"/>
      <c r="V65" s="56" t="n"/>
      <c r="W65" s="56" t="n"/>
      <c r="X65" s="56" t="n"/>
      <c r="Y65" s="3" t="n"/>
      <c r="Z65" s="56" t="n"/>
      <c r="AA65" s="56" t="n"/>
      <c r="AB65" s="56" t="n"/>
      <c r="AC65" s="56" t="n"/>
      <c r="AD65" s="56" t="n"/>
      <c r="AE65" s="56" t="n"/>
      <c r="AF65" s="56" t="n"/>
      <c r="AG65" s="56" t="n"/>
      <c r="AH65" s="56" t="n"/>
      <c r="AI65" s="56" t="n"/>
      <c r="AJ65" s="56" t="n"/>
      <c r="AK65" s="76" t="n"/>
      <c r="AL65" s="3" t="n"/>
      <c r="AM65" s="56" t="n"/>
      <c r="AN65" s="56" t="n"/>
      <c r="AO65" s="56" t="n"/>
      <c r="AP65" s="56" t="n"/>
      <c r="AQ65" s="56" t="n"/>
      <c r="AR65" s="56" t="n"/>
      <c r="AS65" s="3" t="n"/>
    </row>
    <row r="66" ht="20" customHeight="1">
      <c r="A66" s="36" t="n"/>
      <c r="B66" s="36" t="n"/>
      <c r="C66" s="98" t="n"/>
      <c r="D66" s="53" t="n"/>
      <c r="E66" s="53" t="str">
        <f>IF(A66="","",IF(OR(AJ66="EXCLUDE",COUNTIF(AD66:AH66,"LOW")&gt;0),"EXCLUDE",IF(OR(AJ66&lt;&gt;"INCLUDE",F66&lt;&gt;"SUCCESS",D66&lt;&gt;"STORED",U66="",AP66="",AQ66="",AQ66="UNVERIFIED",AND(AP66="OFFICIAL_WEBSITE",Q66=""),AND(OR(AA66="Equipment manual / OEM instruction",AB66="Asset-specific normative"),OR(Z66&lt;&gt;"Manufacturer / supplier",AS66="",AC66=""))),"PENDING",IF(COUNTIF(AD66:AH66,"HIGH")=5,"INCLUDE","PENDING"))))</f>
        <v/>
      </c>
      <c r="F66" s="53" t="n"/>
      <c r="G66" s="81" t="n"/>
      <c r="H66" s="81" t="n"/>
      <c r="I66" s="53" t="n"/>
      <c r="J66" s="53" t="n"/>
      <c r="K66" s="75" t="str">
        <f>IF(A66="","",IF(J66="AUTO",H66,IF(J66="MANUAL",AK66,"")))</f>
        <v/>
      </c>
      <c r="L66" s="53" t="n"/>
      <c r="M66" s="53" t="n"/>
      <c r="N66" s="53" t="str">
        <f>IF(A66="","",IF(COUNTIFS('Human Operation Desktop'!$A$3:$A$502,A66,'Human Operation Desktop'!$I$3:$I$502,"&lt;&gt;APPLIED",'Human Operation Desktop'!$I$3:$I$502,"&lt;&gt;REJECTED")&gt;0,"YES","NO"))</f>
        <v/>
      </c>
      <c r="O66" s="2" t="n"/>
      <c r="P66" s="53" t="n"/>
      <c r="Q66" s="53" t="n"/>
      <c r="R66" s="3" t="n"/>
      <c r="S66" s="53" t="n"/>
      <c r="T66" s="53" t="n"/>
      <c r="U66" s="53" t="n"/>
      <c r="V66" s="53" t="n"/>
      <c r="W66" s="53" t="n"/>
      <c r="X66" s="53" t="n"/>
      <c r="Y66" s="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76" t="n"/>
      <c r="AL66" s="3" t="n"/>
      <c r="AM66" s="53" t="n"/>
      <c r="AN66" s="3" t="n"/>
      <c r="AO66" s="53" t="n"/>
      <c r="AP66" s="53" t="n"/>
      <c r="AQ66" s="53" t="n"/>
      <c r="AR66" s="53" t="n"/>
      <c r="AS66" s="3" t="n"/>
    </row>
    <row r="67" ht="20" customHeight="1">
      <c r="A67" s="33" t="n"/>
      <c r="B67" s="33" t="n"/>
      <c r="C67" s="97" t="n"/>
      <c r="D67" s="56" t="n"/>
      <c r="E67" s="56" t="str">
        <f>IF(A67="","",IF(OR(AJ67="EXCLUDE",COUNTIF(AD67:AH67,"LOW")&gt;0),"EXCLUDE",IF(OR(AJ67&lt;&gt;"INCLUDE",F67&lt;&gt;"SUCCESS",D67&lt;&gt;"STORED",U67="",AP67="",AQ67="",AQ67="UNVERIFIED",AND(AP67="OFFICIAL_WEBSITE",Q67=""),AND(OR(AA67="Equipment manual / OEM instruction",AB67="Asset-specific normative"),OR(Z67&lt;&gt;"Manufacturer / supplier",AS67="",AC67=""))),"PENDING",IF(COUNTIF(AD67:AH67,"HIGH")=5,"INCLUDE","PENDING"))))</f>
        <v/>
      </c>
      <c r="F67" s="56" t="n"/>
      <c r="G67" s="81" t="n"/>
      <c r="H67" s="81" t="n"/>
      <c r="I67" s="56" t="n"/>
      <c r="J67" s="56" t="n"/>
      <c r="K67" s="73" t="str">
        <f>IF(A67="","",IF(J67="AUTO",H67,IF(J67="MANUAL",AK67,"")))</f>
        <v/>
      </c>
      <c r="L67" s="56" t="n"/>
      <c r="M67" s="56" t="n"/>
      <c r="N67" s="56" t="str">
        <f>IF(A67="","",IF(COUNTIFS('Human Operation Desktop'!$A$3:$A$502,A67,'Human Operation Desktop'!$I$3:$I$502,"&lt;&gt;APPLIED",'Human Operation Desktop'!$I$3:$I$502,"&lt;&gt;REJECTED")&gt;0,"YES","NO"))</f>
        <v/>
      </c>
      <c r="O67" s="2" t="n"/>
      <c r="P67" s="56" t="n"/>
      <c r="Q67" s="56" t="n"/>
      <c r="R67" s="3" t="n"/>
      <c r="S67" s="56" t="n"/>
      <c r="T67" s="56" t="n"/>
      <c r="U67" s="56" t="n"/>
      <c r="V67" s="56" t="n"/>
      <c r="W67" s="56" t="n"/>
      <c r="X67" s="56" t="n"/>
      <c r="Y67" s="3" t="n"/>
      <c r="Z67" s="56" t="n"/>
      <c r="AA67" s="56" t="n"/>
      <c r="AB67" s="56" t="n"/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76" t="n"/>
      <c r="AL67" s="3" t="n"/>
      <c r="AM67" s="56" t="n"/>
      <c r="AN67" s="3" t="n"/>
      <c r="AO67" s="56" t="n"/>
      <c r="AP67" s="56" t="n"/>
      <c r="AQ67" s="56" t="n"/>
      <c r="AR67" s="56" t="n"/>
      <c r="AS67" s="3" t="n"/>
    </row>
    <row r="68" ht="47" customHeight="1">
      <c r="A68" s="36" t="n"/>
      <c r="B68" s="36" t="n"/>
      <c r="C68" s="98" t="n"/>
      <c r="D68" s="53" t="n"/>
      <c r="E68" s="53" t="str">
        <f>IF(A68="","",IF(OR(AJ68="EXCLUDE",COUNTIF(AD68:AH68,"LOW")&gt;0),"EXCLUDE",IF(OR(AJ68&lt;&gt;"INCLUDE",F68&lt;&gt;"SUCCESS",D68&lt;&gt;"STORED",U68="",AP68="",AQ68="",AQ68="UNVERIFIED",AND(AP68="OFFICIAL_WEBSITE",Q68=""),AND(OR(AA68="Equipment manual / OEM instruction",AB68="Asset-specific normative"),OR(Z68&lt;&gt;"Manufacturer / supplier",AS68="",AC68=""))),"PENDING",IF(COUNTIF(AD68:AH68,"HIGH")=5,"INCLUDE","PENDING"))))</f>
        <v/>
      </c>
      <c r="F68" s="53" t="n"/>
      <c r="G68" s="81" t="n"/>
      <c r="H68" s="81" t="n"/>
      <c r="I68" s="53" t="n"/>
      <c r="J68" s="53" t="n"/>
      <c r="K68" s="75" t="str">
        <f>IF(A68="","",IF(J68="AUTO",H68,IF(J68="MANUAL",AK68,"")))</f>
        <v/>
      </c>
      <c r="L68" s="53" t="n"/>
      <c r="M68" s="53" t="n"/>
      <c r="N68" s="53" t="str">
        <f>IF(A68="","",IF(COUNTIFS('Human Operation Desktop'!$A$3:$A$502,A68,'Human Operation Desktop'!$I$3:$I$502,"&lt;&gt;APPLIED",'Human Operation Desktop'!$I$3:$I$502,"&lt;&gt;REJECTED")&gt;0,"YES","NO"))</f>
        <v/>
      </c>
      <c r="O68" s="2" t="n"/>
      <c r="P68" s="53" t="n"/>
      <c r="Q68" s="53" t="n"/>
      <c r="R68" s="3" t="n"/>
      <c r="S68" s="53" t="n"/>
      <c r="T68" s="53" t="n"/>
      <c r="U68" s="53" t="n"/>
      <c r="V68" s="53" t="n"/>
      <c r="W68" s="53" t="n"/>
      <c r="X68" s="53" t="n"/>
      <c r="Y68" s="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76" t="n"/>
      <c r="AL68" s="3" t="n"/>
      <c r="AM68" s="53" t="n"/>
      <c r="AN68" s="3" t="n"/>
      <c r="AO68" s="53" t="n"/>
      <c r="AP68" s="53" t="n"/>
      <c r="AQ68" s="53" t="n"/>
      <c r="AR68" s="53" t="n"/>
      <c r="AS68" s="3" t="n"/>
    </row>
    <row r="69" ht="47" customHeight="1">
      <c r="A69" s="33" t="n"/>
      <c r="B69" s="33" t="n"/>
      <c r="C69" s="97" t="n"/>
      <c r="D69" s="56" t="n"/>
      <c r="E69" s="56" t="str">
        <f>IF(A69="","",IF(OR(AJ69="EXCLUDE",COUNTIF(AD69:AH69,"LOW")&gt;0),"EXCLUDE",IF(OR(AJ69&lt;&gt;"INCLUDE",F69&lt;&gt;"SUCCESS",D69&lt;&gt;"STORED",U69="",AP69="",AQ69="",AQ69="UNVERIFIED",AND(AP69="OFFICIAL_WEBSITE",Q69=""),AND(OR(AA69="Equipment manual / OEM instruction",AB69="Asset-specific normative"),OR(Z69&lt;&gt;"Manufacturer / supplier",AS69="",AC69=""))),"PENDING",IF(COUNTIF(AD69:AH69,"HIGH")=5,"INCLUDE","PENDING"))))</f>
        <v/>
      </c>
      <c r="F69" s="56" t="n"/>
      <c r="G69" s="81" t="n"/>
      <c r="H69" s="81" t="n"/>
      <c r="I69" s="56" t="n"/>
      <c r="J69" s="56" t="n"/>
      <c r="K69" s="73" t="str">
        <f>IF(A69="","",IF(J69="AUTO",H69,IF(J69="MANUAL",AK69,"")))</f>
        <v/>
      </c>
      <c r="L69" s="56" t="n"/>
      <c r="M69" s="56" t="n"/>
      <c r="N69" s="56" t="str">
        <f>IF(A69="","",IF(COUNTIFS('Human Operation Desktop'!$A$3:$A$502,A69,'Human Operation Desktop'!$I$3:$I$502,"&lt;&gt;APPLIED",'Human Operation Desktop'!$I$3:$I$502,"&lt;&gt;REJECTED")&gt;0,"YES","NO"))</f>
        <v/>
      </c>
      <c r="O69" s="2" t="n"/>
      <c r="P69" s="56" t="n"/>
      <c r="Q69" s="56" t="n"/>
      <c r="R69" s="3" t="n"/>
      <c r="S69" s="56" t="n"/>
      <c r="T69" s="56" t="n"/>
      <c r="U69" s="56" t="n"/>
      <c r="V69" s="56" t="n"/>
      <c r="W69" s="56" t="n"/>
      <c r="X69" s="56" t="n"/>
      <c r="Y69" s="3" t="n"/>
      <c r="Z69" s="56" t="n"/>
      <c r="AA69" s="56" t="n"/>
      <c r="AB69" s="56" t="n"/>
      <c r="AC69" s="56" t="n"/>
      <c r="AD69" s="56" t="n"/>
      <c r="AE69" s="56" t="n"/>
      <c r="AF69" s="56" t="n"/>
      <c r="AG69" s="56" t="n"/>
      <c r="AH69" s="56" t="n"/>
      <c r="AI69" s="56" t="n"/>
      <c r="AJ69" s="56" t="n"/>
      <c r="AK69" s="76" t="n"/>
      <c r="AL69" s="3" t="n"/>
      <c r="AM69" s="56" t="n"/>
      <c r="AN69" s="56" t="n"/>
      <c r="AO69" s="56" t="n"/>
      <c r="AP69" s="56" t="n"/>
      <c r="AQ69" s="56" t="n"/>
      <c r="AR69" s="56" t="n"/>
      <c r="AS69" s="3" t="n"/>
    </row>
    <row r="70" ht="20" customHeight="1">
      <c r="A70" s="36" t="n"/>
      <c r="B70" s="36" t="n"/>
      <c r="C70" s="98" t="n"/>
      <c r="D70" s="53" t="n"/>
      <c r="E70" s="53" t="str">
        <f>IF(A70="","",IF(OR(AJ70="EXCLUDE",COUNTIF(AD70:AH70,"LOW")&gt;0),"EXCLUDE",IF(OR(AJ70&lt;&gt;"INCLUDE",F70&lt;&gt;"SUCCESS",D70&lt;&gt;"STORED",U70="",AP70="",AQ70="",AQ70="UNVERIFIED",AND(AP70="OFFICIAL_WEBSITE",Q70=""),AND(OR(AA70="Equipment manual / OEM instruction",AB70="Asset-specific normative"),OR(Z70&lt;&gt;"Manufacturer / supplier",AS70="",AC70=""))),"PENDING",IF(COUNTIF(AD70:AH70,"HIGH")=5,"INCLUDE","PENDING"))))</f>
        <v/>
      </c>
      <c r="F70" s="53" t="n"/>
      <c r="G70" s="74" t="n"/>
      <c r="H70" s="74" t="n"/>
      <c r="I70" s="53" t="n"/>
      <c r="J70" s="53" t="n"/>
      <c r="K70" s="75" t="str">
        <f>IF(A70="","",IF(J70="AUTO",H70,IF(J70="MANUAL",AK70,"")))</f>
        <v/>
      </c>
      <c r="L70" s="53" t="n"/>
      <c r="M70" s="2" t="n"/>
      <c r="N70" s="53" t="str">
        <f>IF(A70="","",IF(COUNTIFS('Human Operation Desktop'!$A$3:$A$502,A70,'Human Operation Desktop'!$I$3:$I$502,"&lt;&gt;APPLIED",'Human Operation Desktop'!$I$3:$I$502,"&lt;&gt;REJECTED")&gt;0,"YES","NO"))</f>
        <v/>
      </c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76" t="n"/>
      <c r="AL70" s="3" t="n"/>
      <c r="AM70" s="53" t="n"/>
      <c r="AN70" s="3" t="n"/>
      <c r="AO70" s="53" t="n"/>
      <c r="AP70" s="53" t="n"/>
      <c r="AQ70" s="53" t="n"/>
      <c r="AR70" s="53" t="n"/>
      <c r="AS70" s="3" t="n"/>
    </row>
    <row r="71" ht="20" customHeight="1">
      <c r="A71" s="33" t="n"/>
      <c r="B71" s="33" t="n"/>
      <c r="C71" s="97" t="n"/>
      <c r="D71" s="56" t="n"/>
      <c r="E71" s="56" t="str">
        <f>IF(A71="","",IF(OR(AJ71="EXCLUDE",COUNTIF(AD71:AH71,"LOW")&gt;0),"EXCLUDE",IF(OR(AJ71&lt;&gt;"INCLUDE",F71&lt;&gt;"SUCCESS",D71&lt;&gt;"STORED",U71="",AP71="",AQ71="",AQ71="UNVERIFIED",AND(AP71="OFFICIAL_WEBSITE",Q71=""),AND(OR(AA71="Equipment manual / OEM instruction",AB71="Asset-specific normative"),OR(Z71&lt;&gt;"Manufacturer / supplier",AS71="",AC71=""))),"PENDING",IF(COUNTIF(AD71:AH71,"HIGH")=5,"INCLUDE","PENDING"))))</f>
        <v/>
      </c>
      <c r="F71" s="56" t="n"/>
      <c r="G71" s="72" t="n"/>
      <c r="H71" s="72" t="n"/>
      <c r="I71" s="56" t="n"/>
      <c r="J71" s="56" t="n"/>
      <c r="K71" s="73" t="str">
        <f>IF(A71="","",IF(J71="AUTO",H71,IF(J71="MANUAL",AK71,"")))</f>
        <v/>
      </c>
      <c r="L71" s="56" t="n"/>
      <c r="M71" s="2" t="n"/>
      <c r="N71" s="56" t="str">
        <f>IF(A71="","",IF(COUNTIFS('Human Operation Desktop'!$A$3:$A$502,A71,'Human Operation Desktop'!$I$3:$I$502,"&lt;&gt;APPLIED",'Human Operation Desktop'!$I$3:$I$502,"&lt;&gt;REJECTED")&gt;0,"YES","NO"))</f>
        <v/>
      </c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  <c r="AC71" s="56" t="n"/>
      <c r="AD71" s="56" t="n"/>
      <c r="AE71" s="56" t="n"/>
      <c r="AF71" s="56" t="n"/>
      <c r="AG71" s="56" t="n"/>
      <c r="AH71" s="56" t="n"/>
      <c r="AI71" s="56" t="n"/>
      <c r="AJ71" s="56" t="n"/>
      <c r="AK71" s="76" t="n"/>
      <c r="AL71" s="3" t="n"/>
      <c r="AM71" s="56" t="n"/>
      <c r="AN71" s="56" t="n"/>
      <c r="AO71" s="56" t="n"/>
      <c r="AP71" s="56" t="n"/>
      <c r="AQ71" s="56" t="n"/>
      <c r="AR71" s="56" t="n"/>
      <c r="AS71" s="3" t="n"/>
    </row>
    <row r="72" ht="20" customHeight="1">
      <c r="A72" s="36" t="n"/>
      <c r="B72" s="36" t="n"/>
      <c r="C72" s="98" t="n"/>
      <c r="D72" s="53" t="n"/>
      <c r="E72" s="53" t="str">
        <f>IF(A72="","",IF(OR(AJ72="EXCLUDE",COUNTIF(AD72:AH72,"LOW")&gt;0),"EXCLUDE",IF(OR(AJ72&lt;&gt;"INCLUDE",F72&lt;&gt;"SUCCESS",D72&lt;&gt;"STORED",U72="",AP72="",AQ72="",AQ72="UNVERIFIED",AND(AP72="OFFICIAL_WEBSITE",Q72=""),AND(OR(AA72="Equipment manual / OEM instruction",AB72="Asset-specific normative"),OR(Z72&lt;&gt;"Manufacturer / supplier",AS72="",AC72=""))),"PENDING",IF(COUNTIF(AD72:AH72,"HIGH")=5,"INCLUDE","PENDING"))))</f>
        <v/>
      </c>
      <c r="F72" s="53" t="n"/>
      <c r="G72" s="74" t="n"/>
      <c r="H72" s="74" t="n"/>
      <c r="I72" s="53" t="n"/>
      <c r="J72" s="53" t="n"/>
      <c r="K72" s="75" t="str">
        <f>IF(A72="","",IF(J72="AUTO",H72,IF(J72="MANUAL",AK72,"")))</f>
        <v/>
      </c>
      <c r="L72" s="53" t="n"/>
      <c r="M72" s="2" t="n"/>
      <c r="N72" s="53" t="str">
        <f>IF(A72="","",IF(COUNTIFS('Human Operation Desktop'!$A$3:$A$502,A72,'Human Operation Desktop'!$I$3:$I$502,"&lt;&gt;APPLIED",'Human Operation Desktop'!$I$3:$I$502,"&lt;&gt;REJECTED")&gt;0,"YES","NO"))</f>
        <v/>
      </c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76" t="n"/>
      <c r="AL72" s="3" t="n"/>
      <c r="AM72" s="53" t="n"/>
      <c r="AN72" s="53" t="n"/>
      <c r="AO72" s="53" t="n"/>
      <c r="AP72" s="53" t="n"/>
      <c r="AQ72" s="53" t="n"/>
      <c r="AR72" s="53" t="n"/>
      <c r="AS72" s="3" t="n"/>
    </row>
    <row r="73" ht="20" customHeight="1">
      <c r="A73" s="33" t="n"/>
      <c r="B73" s="33" t="n"/>
      <c r="C73" s="97" t="n"/>
      <c r="D73" s="56" t="n"/>
      <c r="E73" s="56" t="str">
        <f>IF(A73="","",IF(OR(AJ73="EXCLUDE",COUNTIF(AD73:AH73,"LOW")&gt;0),"EXCLUDE",IF(OR(AJ73&lt;&gt;"INCLUDE",F73&lt;&gt;"SUCCESS",D73&lt;&gt;"STORED",U73="",AP73="",AQ73="",AQ73="UNVERIFIED",AND(AP73="OFFICIAL_WEBSITE",Q73=""),AND(OR(AA73="Equipment manual / OEM instruction",AB73="Asset-specific normative"),OR(Z73&lt;&gt;"Manufacturer / supplier",AS73="",AC73=""))),"PENDING",IF(COUNTIF(AD73:AH73,"HIGH")=5,"INCLUDE","PENDING"))))</f>
        <v/>
      </c>
      <c r="F73" s="56" t="n"/>
      <c r="G73" s="72" t="n"/>
      <c r="H73" s="72" t="n"/>
      <c r="I73" s="56" t="n"/>
      <c r="J73" s="56" t="n"/>
      <c r="K73" s="73" t="str">
        <f>IF(A73="","",IF(J73="AUTO",H73,IF(J73="MANUAL",AK73,"")))</f>
        <v/>
      </c>
      <c r="L73" s="56" t="n"/>
      <c r="M73" s="2" t="n"/>
      <c r="N73" s="56" t="str">
        <f>IF(A73="","",IF(COUNTIFS('Human Operation Desktop'!$A$3:$A$502,A73,'Human Operation Desktop'!$I$3:$I$502,"&lt;&gt;APPLIED",'Human Operation Desktop'!$I$3:$I$502,"&lt;&gt;REJECTED")&gt;0,"YES","NO"))</f>
        <v/>
      </c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  <c r="AC73" s="56" t="n"/>
      <c r="AD73" s="56" t="n"/>
      <c r="AE73" s="56" t="n"/>
      <c r="AF73" s="56" t="n"/>
      <c r="AG73" s="56" t="n"/>
      <c r="AH73" s="56" t="n"/>
      <c r="AI73" s="56" t="n"/>
      <c r="AJ73" s="56" t="n"/>
      <c r="AK73" s="76" t="n"/>
      <c r="AL73" s="3" t="n"/>
      <c r="AM73" s="56" t="n"/>
      <c r="AN73" s="3" t="n"/>
      <c r="AO73" s="56" t="n"/>
      <c r="AP73" s="56" t="n"/>
      <c r="AQ73" s="56" t="n"/>
      <c r="AR73" s="56" t="n"/>
      <c r="AS73" s="3" t="n"/>
    </row>
    <row r="74" ht="47" customHeight="1">
      <c r="A74" s="36" t="n"/>
      <c r="B74" s="36" t="n"/>
      <c r="C74" s="98" t="n"/>
      <c r="D74" s="53" t="n"/>
      <c r="E74" s="53" t="str">
        <f>IF(A74="","",IF(OR(AJ74="EXCLUDE",COUNTIF(AD74:AH74,"LOW")&gt;0),"EXCLUDE",IF(OR(AJ74&lt;&gt;"INCLUDE",F74&lt;&gt;"SUCCESS",D74&lt;&gt;"STORED",U74="",AP74="",AQ74="",AQ74="UNVERIFIED",AND(AP74="OFFICIAL_WEBSITE",Q74=""),AND(OR(AA74="Equipment manual / OEM instruction",AB74="Asset-specific normative"),OR(Z74&lt;&gt;"Manufacturer / supplier",AS74="",AC74=""))),"PENDING",IF(COUNTIF(AD74:AH74,"HIGH")=5,"INCLUDE","PENDING"))))</f>
        <v/>
      </c>
      <c r="F74" s="53" t="n"/>
      <c r="G74" s="74" t="n"/>
      <c r="H74" s="74" t="n"/>
      <c r="I74" s="53" t="n"/>
      <c r="J74" s="53" t="n"/>
      <c r="K74" s="75" t="str">
        <f>IF(A74="","",IF(J74="AUTO",H74,IF(J74="MANUAL",AK74,"")))</f>
        <v/>
      </c>
      <c r="L74" s="53" t="n"/>
      <c r="M74" s="2" t="n"/>
      <c r="N74" s="53" t="str">
        <f>IF(A74="","",IF(COUNTIFS('Human Operation Desktop'!$A$3:$A$502,A74,'Human Operation Desktop'!$I$3:$I$502,"&lt;&gt;APPLIED",'Human Operation Desktop'!$I$3:$I$502,"&lt;&gt;REJECTED")&gt;0,"YES","NO"))</f>
        <v/>
      </c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76" t="n"/>
      <c r="AL74" s="3" t="n"/>
      <c r="AM74" s="53" t="n"/>
      <c r="AN74" s="53" t="n"/>
      <c r="AO74" s="53" t="n"/>
      <c r="AP74" s="53" t="n"/>
      <c r="AQ74" s="53" t="n"/>
      <c r="AR74" s="53" t="n"/>
      <c r="AS74" s="3" t="n"/>
    </row>
    <row r="75" ht="20" customHeight="1">
      <c r="A75" s="33" t="n"/>
      <c r="B75" s="33" t="n"/>
      <c r="C75" s="97" t="n"/>
      <c r="D75" s="56" t="n"/>
      <c r="E75" s="56" t="str">
        <f>IF(A75="","",IF(OR(AJ75="EXCLUDE",COUNTIF(AD75:AH75,"LOW")&gt;0),"EXCLUDE",IF(OR(AJ75&lt;&gt;"INCLUDE",F75&lt;&gt;"SUCCESS",D75&lt;&gt;"STORED",U75="",AP75="",AQ75="",AQ75="UNVERIFIED",AND(AP75="OFFICIAL_WEBSITE",Q75=""),AND(OR(AA75="Equipment manual / OEM instruction",AB75="Asset-specific normative"),OR(Z75&lt;&gt;"Manufacturer / supplier",AS75="",AC75=""))),"PENDING",IF(COUNTIF(AD75:AH75,"HIGH")=5,"INCLUDE","PENDING"))))</f>
        <v/>
      </c>
      <c r="F75" s="56" t="n"/>
      <c r="G75" s="81" t="n"/>
      <c r="H75" s="81" t="n"/>
      <c r="I75" s="56" t="n"/>
      <c r="J75" s="56" t="n"/>
      <c r="K75" s="73" t="str">
        <f>IF(A75="","",IF(J75="AUTO",H75,IF(J75="MANUAL",AK75,"")))</f>
        <v/>
      </c>
      <c r="L75" s="56" t="n"/>
      <c r="M75" s="2" t="n"/>
      <c r="N75" s="56" t="str">
        <f>IF(A75="","",IF(COUNTIFS('Human Operation Desktop'!$A$3:$A$502,A75,'Human Operation Desktop'!$I$3:$I$502,"&lt;&gt;APPLIED",'Human Operation Desktop'!$I$3:$I$502,"&lt;&gt;REJECTED")&gt;0,"YES","NO"))</f>
        <v/>
      </c>
      <c r="O75" s="2" t="n"/>
      <c r="P75" s="56" t="n"/>
      <c r="Q75" s="56" t="n"/>
      <c r="R75" s="3" t="n"/>
      <c r="S75" s="56" t="n"/>
      <c r="T75" s="56" t="n"/>
      <c r="U75" s="56" t="n"/>
      <c r="V75" s="56" t="n"/>
      <c r="W75" s="56" t="n"/>
      <c r="X75" s="56" t="n"/>
      <c r="Y75" s="3" t="n"/>
      <c r="Z75" s="56" t="n"/>
      <c r="AA75" s="56" t="n"/>
      <c r="AB75" s="56" t="n"/>
      <c r="AC75" s="56" t="n"/>
      <c r="AD75" s="56" t="n"/>
      <c r="AE75" s="56" t="n"/>
      <c r="AF75" s="56" t="n"/>
      <c r="AG75" s="56" t="n"/>
      <c r="AH75" s="56" t="n"/>
      <c r="AI75" s="56" t="n"/>
      <c r="AJ75" s="56" t="n"/>
      <c r="AK75" s="76" t="n"/>
      <c r="AL75" s="3" t="n"/>
      <c r="AM75" s="56" t="n"/>
      <c r="AN75" s="56" t="n"/>
      <c r="AO75" s="56" t="n"/>
      <c r="AP75" s="56" t="n"/>
      <c r="AQ75" s="56" t="n"/>
      <c r="AR75" s="56" t="n"/>
      <c r="AS75" s="3" t="n"/>
    </row>
    <row r="76" ht="20" customHeight="1">
      <c r="A76" s="36" t="n"/>
      <c r="B76" s="36" t="n"/>
      <c r="C76" s="98" t="n"/>
      <c r="D76" s="53" t="n"/>
      <c r="E76" s="53" t="str">
        <f>IF(A76="","",IF(OR(AJ76="EXCLUDE",COUNTIF(AD76:AH76,"LOW")&gt;0),"EXCLUDE",IF(OR(AJ76&lt;&gt;"INCLUDE",F76&lt;&gt;"SUCCESS",D76&lt;&gt;"STORED",U76="",AP76="",AQ76="",AQ76="UNVERIFIED",AND(AP76="OFFICIAL_WEBSITE",Q76=""),AND(OR(AA76="Equipment manual / OEM instruction",AB76="Asset-specific normative"),OR(Z76&lt;&gt;"Manufacturer / supplier",AS76="",AC76=""))),"PENDING",IF(COUNTIF(AD76:AH76,"HIGH")=5,"INCLUDE","PENDING"))))</f>
        <v/>
      </c>
      <c r="F76" s="53" t="n"/>
      <c r="G76" s="81" t="n"/>
      <c r="H76" s="81" t="n"/>
      <c r="I76" s="53" t="n"/>
      <c r="J76" s="53" t="n"/>
      <c r="K76" s="75" t="str">
        <f>IF(A76="","",IF(J76="AUTO",H76,IF(J76="MANUAL",AK76,"")))</f>
        <v/>
      </c>
      <c r="L76" s="53" t="n"/>
      <c r="M76" s="2" t="n"/>
      <c r="N76" s="53" t="str">
        <f>IF(A76="","",IF(COUNTIFS('Human Operation Desktop'!$A$3:$A$502,A76,'Human Operation Desktop'!$I$3:$I$502,"&lt;&gt;APPLIED",'Human Operation Desktop'!$I$3:$I$502,"&lt;&gt;REJECTED")&gt;0,"YES","NO"))</f>
        <v/>
      </c>
      <c r="O76" s="2" t="n"/>
      <c r="P76" s="53" t="n"/>
      <c r="Q76" s="53" t="n"/>
      <c r="R76" s="3" t="n"/>
      <c r="S76" s="53" t="n"/>
      <c r="T76" s="53" t="n"/>
      <c r="U76" s="53" t="n"/>
      <c r="V76" s="53" t="n"/>
      <c r="W76" s="53" t="n"/>
      <c r="X76" s="53" t="n"/>
      <c r="Y76" s="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76" t="n"/>
      <c r="AL76" s="3" t="n"/>
      <c r="AM76" s="53" t="n"/>
      <c r="AN76" s="53" t="n"/>
      <c r="AO76" s="53" t="n"/>
      <c r="AP76" s="53" t="n"/>
      <c r="AQ76" s="53" t="n"/>
      <c r="AR76" s="53" t="n"/>
      <c r="AS76" s="3" t="n"/>
    </row>
    <row r="77" ht="47" customHeight="1">
      <c r="A77" s="33" t="n"/>
      <c r="B77" s="33" t="n"/>
      <c r="C77" s="97" t="n"/>
      <c r="D77" s="56" t="n"/>
      <c r="E77" s="56" t="str">
        <f>IF(A77="","",IF(OR(AJ77="EXCLUDE",COUNTIF(AD77:AH77,"LOW")&gt;0),"EXCLUDE",IF(OR(AJ77&lt;&gt;"INCLUDE",F77&lt;&gt;"SUCCESS",D77&lt;&gt;"STORED",U77="",AP77="",AQ77="",AQ77="UNVERIFIED",AND(AP77="OFFICIAL_WEBSITE",Q77=""),AND(OR(AA77="Equipment manual / OEM instruction",AB77="Asset-specific normative"),OR(Z77&lt;&gt;"Manufacturer / supplier",AS77="",AC77=""))),"PENDING",IF(COUNTIF(AD77:AH77,"HIGH")=5,"INCLUDE","PENDING"))))</f>
        <v/>
      </c>
      <c r="F77" s="56" t="n"/>
      <c r="G77" s="81" t="n"/>
      <c r="H77" s="81" t="n"/>
      <c r="I77" s="56" t="n"/>
      <c r="J77" s="56" t="n"/>
      <c r="K77" s="73" t="str">
        <f>IF(A77="","",IF(J77="AUTO",H77,IF(J77="MANUAL",AK77,"")))</f>
        <v/>
      </c>
      <c r="L77" s="56" t="n"/>
      <c r="M77" s="2" t="n"/>
      <c r="N77" s="56" t="str">
        <f>IF(A77="","",IF(COUNTIFS('Human Operation Desktop'!$A$3:$A$502,A77,'Human Operation Desktop'!$I$3:$I$502,"&lt;&gt;APPLIED",'Human Operation Desktop'!$I$3:$I$502,"&lt;&gt;REJECTED")&gt;0,"YES","NO"))</f>
        <v/>
      </c>
      <c r="O77" s="2" t="n"/>
      <c r="P77" s="56" t="n"/>
      <c r="Q77" s="56" t="n"/>
      <c r="R77" s="3" t="n"/>
      <c r="S77" s="56" t="n"/>
      <c r="T77" s="56" t="n"/>
      <c r="U77" s="56" t="n"/>
      <c r="V77" s="56" t="n"/>
      <c r="W77" s="56" t="n"/>
      <c r="X77" s="56" t="n"/>
      <c r="Y77" s="3" t="n"/>
      <c r="Z77" s="56" t="n"/>
      <c r="AA77" s="56" t="n"/>
      <c r="AB77" s="56" t="n"/>
      <c r="AC77" s="56" t="n"/>
      <c r="AD77" s="56" t="n"/>
      <c r="AE77" s="56" t="n"/>
      <c r="AF77" s="56" t="n"/>
      <c r="AG77" s="56" t="n"/>
      <c r="AH77" s="56" t="n"/>
      <c r="AI77" s="56" t="n"/>
      <c r="AJ77" s="56" t="n"/>
      <c r="AK77" s="76" t="n"/>
      <c r="AL77" s="3" t="n"/>
      <c r="AM77" s="56" t="n"/>
      <c r="AN77" s="3" t="n"/>
      <c r="AO77" s="56" t="n"/>
      <c r="AP77" s="56" t="n"/>
      <c r="AQ77" s="56" t="n"/>
      <c r="AR77" s="56" t="n"/>
      <c r="AS77" s="3" t="n"/>
    </row>
    <row r="78" ht="20" customHeight="1">
      <c r="A78" s="36" t="n"/>
      <c r="B78" s="36" t="n"/>
      <c r="C78" s="98" t="n"/>
      <c r="D78" s="53" t="n"/>
      <c r="E78" s="53" t="str">
        <f>IF(A78="","",IF(OR(AJ78="EXCLUDE",COUNTIF(AD78:AH78,"LOW")&gt;0),"EXCLUDE",IF(OR(AJ78&lt;&gt;"INCLUDE",F78&lt;&gt;"SUCCESS",D78&lt;&gt;"STORED",U78="",AP78="",AQ78="",AQ78="UNVERIFIED",AND(AP78="OFFICIAL_WEBSITE",Q78=""),AND(OR(AA78="Equipment manual / OEM instruction",AB78="Asset-specific normative"),OR(Z78&lt;&gt;"Manufacturer / supplier",AS78="",AC78=""))),"PENDING",IF(COUNTIF(AD78:AH78,"HIGH")=5,"INCLUDE","PENDING"))))</f>
        <v/>
      </c>
      <c r="F78" s="53" t="n"/>
      <c r="G78" s="81" t="n"/>
      <c r="H78" s="81" t="n"/>
      <c r="I78" s="53" t="n"/>
      <c r="J78" s="53" t="n"/>
      <c r="K78" s="75" t="str">
        <f>IF(A78="","",IF(J78="AUTO",H78,IF(J78="MANUAL",AK78,"")))</f>
        <v/>
      </c>
      <c r="L78" s="53" t="n"/>
      <c r="M78" s="2" t="n"/>
      <c r="N78" s="53" t="str">
        <f>IF(A78="","",IF(COUNTIFS('Human Operation Desktop'!$A$3:$A$502,A78,'Human Operation Desktop'!$I$3:$I$502,"&lt;&gt;APPLIED",'Human Operation Desktop'!$I$3:$I$502,"&lt;&gt;REJECTED")&gt;0,"YES","NO"))</f>
        <v/>
      </c>
      <c r="O78" s="2" t="n"/>
      <c r="P78" s="53" t="n"/>
      <c r="Q78" s="53" t="n"/>
      <c r="R78" s="3" t="n"/>
      <c r="S78" s="53" t="n"/>
      <c r="T78" s="53" t="n"/>
      <c r="U78" s="53" t="n"/>
      <c r="V78" s="53" t="n"/>
      <c r="W78" s="53" t="n"/>
      <c r="X78" s="53" t="n"/>
      <c r="Y78" s="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76" t="n"/>
      <c r="AL78" s="3" t="n"/>
      <c r="AM78" s="53" t="n"/>
      <c r="AN78" s="53" t="n"/>
      <c r="AO78" s="53" t="n"/>
      <c r="AP78" s="53" t="n"/>
      <c r="AQ78" s="53" t="n"/>
      <c r="AR78" s="53" t="n"/>
      <c r="AS78" s="3" t="n"/>
    </row>
    <row r="79" ht="47" customHeight="1">
      <c r="A79" s="33" t="n"/>
      <c r="B79" s="33" t="n"/>
      <c r="C79" s="97" t="n"/>
      <c r="D79" s="56" t="n"/>
      <c r="E79" s="56" t="str">
        <f>IF(A79="","",IF(OR(AJ79="EXCLUDE",COUNTIF(AD79:AH79,"LOW")&gt;0),"EXCLUDE",IF(OR(AJ79&lt;&gt;"INCLUDE",F79&lt;&gt;"SUCCESS",D79&lt;&gt;"STORED",U79="",AP79="",AQ79="",AQ79="UNVERIFIED",AND(AP79="OFFICIAL_WEBSITE",Q79=""),AND(OR(AA79="Equipment manual / OEM instruction",AB79="Asset-specific normative"),OR(Z79&lt;&gt;"Manufacturer / supplier",AS79="",AC79=""))),"PENDING",IF(COUNTIF(AD79:AH79,"HIGH")=5,"INCLUDE","PENDING"))))</f>
        <v/>
      </c>
      <c r="F79" s="56" t="n"/>
      <c r="G79" s="72" t="n"/>
      <c r="H79" s="72" t="n"/>
      <c r="I79" s="56" t="n"/>
      <c r="J79" s="56" t="n"/>
      <c r="K79" s="73" t="str">
        <f>IF(A79="","",IF(J79="AUTO",H79,IF(J79="MANUAL",AK79,"")))</f>
        <v/>
      </c>
      <c r="L79" s="56" t="n"/>
      <c r="M79" s="2" t="n"/>
      <c r="N79" s="56" t="str">
        <f>IF(A79="","",IF(COUNTIFS('Human Operation Desktop'!$A$3:$A$502,A79,'Human Operation Desktop'!$I$3:$I$502,"&lt;&gt;APPLIED",'Human Operation Desktop'!$I$3:$I$502,"&lt;&gt;REJECTED")&gt;0,"YES","NO"))</f>
        <v/>
      </c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3" t="n"/>
      <c r="Z79" s="56" t="n"/>
      <c r="AA79" s="56" t="n"/>
      <c r="AB79" s="56" t="n"/>
      <c r="AC79" s="56" t="n"/>
      <c r="AD79" s="56" t="n"/>
      <c r="AE79" s="56" t="n"/>
      <c r="AF79" s="56" t="n"/>
      <c r="AG79" s="56" t="n"/>
      <c r="AH79" s="56" t="n"/>
      <c r="AI79" s="56" t="n"/>
      <c r="AJ79" s="56" t="n"/>
      <c r="AK79" s="76" t="n"/>
      <c r="AL79" s="3" t="n"/>
      <c r="AM79" s="56" t="n"/>
      <c r="AN79" s="56" t="n"/>
      <c r="AO79" s="56" t="n"/>
      <c r="AP79" s="56" t="n"/>
      <c r="AQ79" s="56" t="n"/>
      <c r="AR79" s="56" t="n"/>
      <c r="AS79" s="3" t="n"/>
    </row>
    <row r="80" ht="20" customHeight="1">
      <c r="A80" s="36" t="n"/>
      <c r="B80" s="36" t="n"/>
      <c r="C80" s="98" t="n"/>
      <c r="D80" s="53" t="n"/>
      <c r="E80" s="53" t="str">
        <f>IF(A80="","",IF(OR(AJ80="EXCLUDE",COUNTIF(AD80:AH80,"LOW")&gt;0),"EXCLUDE",IF(OR(AJ80&lt;&gt;"INCLUDE",F80&lt;&gt;"SUCCESS",D80&lt;&gt;"STORED",U80="",AP80="",AQ80="",AQ80="UNVERIFIED",AND(AP80="OFFICIAL_WEBSITE",Q80=""),AND(OR(AA80="Equipment manual / OEM instruction",AB80="Asset-specific normative"),OR(Z80&lt;&gt;"Manufacturer / supplier",AS80="",AC80=""))),"PENDING",IF(COUNTIF(AD80:AH80,"HIGH")=5,"INCLUDE","PENDING"))))</f>
        <v/>
      </c>
      <c r="F80" s="53" t="n"/>
      <c r="G80" s="74" t="n"/>
      <c r="H80" s="74" t="n"/>
      <c r="I80" s="53" t="n"/>
      <c r="J80" s="53" t="n"/>
      <c r="K80" s="75" t="str">
        <f>IF(A80="","",IF(J80="AUTO",H80,IF(J80="MANUAL",AK80,"")))</f>
        <v/>
      </c>
      <c r="L80" s="53" t="n"/>
      <c r="M80" s="2" t="n"/>
      <c r="N80" s="53" t="str">
        <f>IF(A80="","",IF(COUNTIFS('Human Operation Desktop'!$A$3:$A$502,A80,'Human Operation Desktop'!$I$3:$I$502,"&lt;&gt;APPLIED",'Human Operation Desktop'!$I$3:$I$502,"&lt;&gt;REJECTED")&gt;0,"YES","NO"))</f>
        <v/>
      </c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76" t="n"/>
      <c r="AL80" s="3" t="n"/>
      <c r="AM80" s="53" t="n"/>
      <c r="AN80" s="53" t="n"/>
      <c r="AO80" s="53" t="n"/>
      <c r="AP80" s="53" t="n"/>
      <c r="AQ80" s="53" t="n"/>
      <c r="AR80" s="53" t="n"/>
      <c r="AS80" s="3" t="n"/>
    </row>
    <row r="81" ht="20" customHeight="1">
      <c r="A81" s="33" t="n"/>
      <c r="B81" s="33" t="n"/>
      <c r="C81" s="97" t="n"/>
      <c r="D81" s="56" t="n"/>
      <c r="E81" s="56" t="str">
        <f>IF(A81="","",IF(OR(AJ81="EXCLUDE",COUNTIF(AD81:AH81,"LOW")&gt;0),"EXCLUDE",IF(OR(AJ81&lt;&gt;"INCLUDE",F81&lt;&gt;"SUCCESS",D81&lt;&gt;"STORED",U81="",AP81="",AQ81="",AQ81="UNVERIFIED",AND(AP81="OFFICIAL_WEBSITE",Q81=""),AND(OR(AA81="Equipment manual / OEM instruction",AB81="Asset-specific normative"),OR(Z81&lt;&gt;"Manufacturer / supplier",AS81="",AC81=""))),"PENDING",IF(COUNTIF(AD81:AH81,"HIGH")=5,"INCLUDE","PENDING"))))</f>
        <v/>
      </c>
      <c r="F81" s="56" t="n"/>
      <c r="G81" s="81" t="n"/>
      <c r="H81" s="81" t="n"/>
      <c r="I81" s="56" t="n"/>
      <c r="J81" s="56" t="n"/>
      <c r="K81" s="73" t="str">
        <f>IF(A81="","",IF(J81="AUTO",H81,IF(J81="MANUAL",AK81,"")))</f>
        <v/>
      </c>
      <c r="L81" s="56" t="n"/>
      <c r="M81" s="2" t="n"/>
      <c r="N81" s="56" t="str">
        <f>IF(A81="","",IF(COUNTIFS('Human Operation Desktop'!$A$3:$A$502,A81,'Human Operation Desktop'!$I$3:$I$502,"&lt;&gt;APPLIED",'Human Operation Desktop'!$I$3:$I$502,"&lt;&gt;REJECTED")&gt;0,"YES","NO"))</f>
        <v/>
      </c>
      <c r="O81" s="2" t="n"/>
      <c r="P81" s="56" t="n"/>
      <c r="Q81" s="56" t="n"/>
      <c r="R81" s="3" t="n"/>
      <c r="S81" s="56" t="n"/>
      <c r="T81" s="56" t="n"/>
      <c r="U81" s="56" t="n"/>
      <c r="V81" s="56" t="n"/>
      <c r="W81" s="56" t="n"/>
      <c r="X81" s="3" t="n"/>
      <c r="Y81" s="3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76" t="n"/>
      <c r="AL81" s="3" t="n"/>
      <c r="AM81" s="56" t="n"/>
      <c r="AN81" s="56" t="n"/>
      <c r="AO81" s="56" t="n"/>
      <c r="AP81" s="56" t="n"/>
      <c r="AQ81" s="56" t="n"/>
      <c r="AR81" s="56" t="n"/>
      <c r="AS81" s="3" t="n"/>
    </row>
    <row r="82" ht="47" customHeight="1">
      <c r="A82" s="36" t="n"/>
      <c r="B82" s="36" t="n"/>
      <c r="C82" s="98" t="n"/>
      <c r="D82" s="53" t="n"/>
      <c r="E82" s="53" t="str">
        <f>IF(A82="","",IF(OR(AJ82="EXCLUDE",COUNTIF(AD82:AH82,"LOW")&gt;0),"EXCLUDE",IF(OR(AJ82&lt;&gt;"INCLUDE",F82&lt;&gt;"SUCCESS",D82&lt;&gt;"STORED",U82="",AP82="",AQ82="",AQ82="UNVERIFIED",AND(AP82="OFFICIAL_WEBSITE",Q82=""),AND(OR(AA82="Equipment manual / OEM instruction",AB82="Asset-specific normative"),OR(Z82&lt;&gt;"Manufacturer / supplier",AS82="",AC82=""))),"PENDING",IF(COUNTIF(AD82:AH82,"HIGH")=5,"INCLUDE","PENDING"))))</f>
        <v/>
      </c>
      <c r="F82" s="53" t="n"/>
      <c r="G82" s="74" t="n"/>
      <c r="H82" s="74" t="n"/>
      <c r="I82" s="53" t="n"/>
      <c r="J82" s="53" t="n"/>
      <c r="K82" s="75" t="str">
        <f>IF(A82="","",IF(J82="AUTO",H82,IF(J82="MANUAL",AK82,"")))</f>
        <v/>
      </c>
      <c r="L82" s="53" t="n"/>
      <c r="M82" s="2" t="n"/>
      <c r="N82" s="53" t="str">
        <f>IF(A82="","",IF(COUNTIFS('Human Operation Desktop'!$A$3:$A$502,A82,'Human Operation Desktop'!$I$3:$I$502,"&lt;&gt;APPLIED",'Human Operation Desktop'!$I$3:$I$502,"&lt;&gt;REJECTED")&gt;0,"YES","NO"))</f>
        <v/>
      </c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76" t="n"/>
      <c r="AL82" s="3" t="n"/>
      <c r="AM82" s="53" t="n"/>
      <c r="AN82" s="53" t="n"/>
      <c r="AO82" s="53" t="n"/>
      <c r="AP82" s="53" t="n"/>
      <c r="AQ82" s="53" t="n"/>
      <c r="AR82" s="53" t="n"/>
      <c r="AS82" s="3" t="n"/>
    </row>
    <row r="83" ht="47" customHeight="1">
      <c r="A83" s="33" t="n"/>
      <c r="B83" s="33" t="n"/>
      <c r="C83" s="97" t="n"/>
      <c r="D83" s="56" t="n"/>
      <c r="E83" s="56" t="str">
        <f>IF(A83="","",IF(OR(AJ83="EXCLUDE",COUNTIF(AD83:AH83,"LOW")&gt;0),"EXCLUDE",IF(OR(AJ83&lt;&gt;"INCLUDE",F83&lt;&gt;"SUCCESS",D83&lt;&gt;"STORED",U83="",AP83="",AQ83="",AQ83="UNVERIFIED",AND(AP83="OFFICIAL_WEBSITE",Q83=""),AND(OR(AA83="Equipment manual / OEM instruction",AB83="Asset-specific normative"),OR(Z83&lt;&gt;"Manufacturer / supplier",AS83="",AC83=""))),"PENDING",IF(COUNTIF(AD83:AH83,"HIGH")=5,"INCLUDE","PENDING"))))</f>
        <v/>
      </c>
      <c r="F83" s="56" t="n"/>
      <c r="G83" s="72" t="n"/>
      <c r="H83" s="72" t="n"/>
      <c r="I83" s="56" t="n"/>
      <c r="J83" s="56" t="n"/>
      <c r="K83" s="73" t="str">
        <f>IF(A83="","",IF(J83="AUTO",H83,IF(J83="MANUAL",AK83,"")))</f>
        <v/>
      </c>
      <c r="L83" s="56" t="n"/>
      <c r="M83" s="2" t="n"/>
      <c r="N83" s="56" t="str">
        <f>IF(A83="","",IF(COUNTIFS('Human Operation Desktop'!$A$3:$A$502,A83,'Human Operation Desktop'!$I$3:$I$502,"&lt;&gt;APPLIED",'Human Operation Desktop'!$I$3:$I$502,"&lt;&gt;REJECTED")&gt;0,"YES","NO"))</f>
        <v/>
      </c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  <c r="AC83" s="56" t="n"/>
      <c r="AD83" s="56" t="n"/>
      <c r="AE83" s="56" t="n"/>
      <c r="AF83" s="56" t="n"/>
      <c r="AG83" s="56" t="n"/>
      <c r="AH83" s="56" t="n"/>
      <c r="AI83" s="56" t="n"/>
      <c r="AJ83" s="56" t="n"/>
      <c r="AK83" s="76" t="n"/>
      <c r="AL83" s="3" t="n"/>
      <c r="AM83" s="56" t="n"/>
      <c r="AN83" s="56" t="n"/>
      <c r="AO83" s="56" t="n"/>
      <c r="AP83" s="56" t="n"/>
      <c r="AQ83" s="56" t="n"/>
      <c r="AR83" s="56" t="n"/>
      <c r="AS83" s="3" t="n"/>
    </row>
    <row r="84" ht="20" customHeight="1">
      <c r="A84" s="36" t="n"/>
      <c r="B84" s="36" t="n"/>
      <c r="C84" s="98" t="n"/>
      <c r="D84" s="53" t="n"/>
      <c r="E84" s="53" t="str">
        <f>IF(A84="","",IF(OR(AJ84="EXCLUDE",COUNTIF(AD84:AH84,"LOW")&gt;0),"EXCLUDE",IF(OR(AJ84&lt;&gt;"INCLUDE",F84&lt;&gt;"SUCCESS",D84&lt;&gt;"STORED",U84="",AP84="",AQ84="",AQ84="UNVERIFIED",AND(AP84="OFFICIAL_WEBSITE",Q84=""),AND(OR(AA84="Equipment manual / OEM instruction",AB84="Asset-specific normative"),OR(Z84&lt;&gt;"Manufacturer / supplier",AS84="",AC84=""))),"PENDING",IF(COUNTIF(AD84:AH84,"HIGH")=5,"INCLUDE","PENDING"))))</f>
        <v/>
      </c>
      <c r="F84" s="53" t="n"/>
      <c r="G84" s="74" t="n"/>
      <c r="H84" s="74" t="n"/>
      <c r="I84" s="53" t="n"/>
      <c r="J84" s="53" t="n"/>
      <c r="K84" s="75" t="str">
        <f>IF(A84="","",IF(J84="AUTO",H84,IF(J84="MANUAL",AK84,"")))</f>
        <v/>
      </c>
      <c r="L84" s="53" t="n"/>
      <c r="M84" s="2" t="n"/>
      <c r="N84" s="53" t="str">
        <f>IF(A84="","",IF(COUNTIFS('Human Operation Desktop'!$A$3:$A$502,A84,'Human Operation Desktop'!$I$3:$I$502,"&lt;&gt;APPLIED",'Human Operation Desktop'!$I$3:$I$502,"&lt;&gt;REJECTED")&gt;0,"YES","NO"))</f>
        <v/>
      </c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76" t="n"/>
      <c r="AL84" s="3" t="n"/>
      <c r="AM84" s="53" t="n"/>
      <c r="AN84" s="53" t="n"/>
      <c r="AO84" s="53" t="n"/>
      <c r="AP84" s="53" t="n"/>
      <c r="AQ84" s="53" t="n"/>
      <c r="AR84" s="53" t="n"/>
      <c r="AS84" s="3" t="n"/>
    </row>
    <row r="85" ht="20" customHeight="1">
      <c r="A85" s="33" t="n"/>
      <c r="B85" s="33" t="n"/>
      <c r="C85" s="97" t="n"/>
      <c r="D85" s="56" t="n"/>
      <c r="E85" s="56" t="str">
        <f>IF(A85="","",IF(OR(AJ85="EXCLUDE",COUNTIF(AD85:AH85,"LOW")&gt;0),"EXCLUDE",IF(OR(AJ85&lt;&gt;"INCLUDE",F85&lt;&gt;"SUCCESS",D85&lt;&gt;"STORED",U85="",AP85="",AQ85="",AQ85="UNVERIFIED",AND(AP85="OFFICIAL_WEBSITE",Q85=""),AND(OR(AA85="Equipment manual / OEM instruction",AB85="Asset-specific normative"),OR(Z85&lt;&gt;"Manufacturer / supplier",AS85="",AC85=""))),"PENDING",IF(COUNTIF(AD85:AH85,"HIGH")=5,"INCLUDE","PENDING"))))</f>
        <v/>
      </c>
      <c r="F85" s="56" t="n"/>
      <c r="G85" s="72" t="n"/>
      <c r="H85" s="72" t="n"/>
      <c r="I85" s="56" t="n"/>
      <c r="J85" s="56" t="n"/>
      <c r="K85" s="73" t="str">
        <f>IF(A85="","",IF(J85="AUTO",H85,IF(J85="MANUAL",AK85,"")))</f>
        <v/>
      </c>
      <c r="L85" s="56" t="n"/>
      <c r="M85" s="2" t="n"/>
      <c r="N85" s="56" t="str">
        <f>IF(A85="","",IF(COUNTIFS('Human Operation Desktop'!$A$3:$A$502,A85,'Human Operation Desktop'!$I$3:$I$502,"&lt;&gt;APPLIED",'Human Operation Desktop'!$I$3:$I$502,"&lt;&gt;REJECTED")&gt;0,"YES","NO"))</f>
        <v/>
      </c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  <c r="AC85" s="56" t="n"/>
      <c r="AD85" s="56" t="n"/>
      <c r="AE85" s="56" t="n"/>
      <c r="AF85" s="56" t="n"/>
      <c r="AG85" s="56" t="n"/>
      <c r="AH85" s="56" t="n"/>
      <c r="AI85" s="56" t="n"/>
      <c r="AJ85" s="56" t="n"/>
      <c r="AK85" s="76" t="n"/>
      <c r="AL85" s="3" t="n"/>
      <c r="AM85" s="56" t="n"/>
      <c r="AN85" s="56" t="n"/>
      <c r="AO85" s="56" t="n"/>
      <c r="AP85" s="56" t="n"/>
      <c r="AQ85" s="56" t="n"/>
      <c r="AR85" s="56" t="n"/>
      <c r="AS85" s="3" t="n"/>
    </row>
    <row r="86" ht="47" customHeight="1">
      <c r="A86" s="36" t="n"/>
      <c r="B86" s="36" t="n"/>
      <c r="C86" s="98" t="n"/>
      <c r="D86" s="53" t="n"/>
      <c r="E86" s="53" t="str">
        <f>IF(A86="","",IF(OR(AJ86="EXCLUDE",COUNTIF(AD86:AH86,"LOW")&gt;0),"EXCLUDE",IF(OR(AJ86&lt;&gt;"INCLUDE",F86&lt;&gt;"SUCCESS",D86&lt;&gt;"STORED",U86="",AP86="",AQ86="",AQ86="UNVERIFIED",AND(AP86="OFFICIAL_WEBSITE",Q86=""),AND(OR(AA86="Equipment manual / OEM instruction",AB86="Asset-specific normative"),OR(Z86&lt;&gt;"Manufacturer / supplier",AS86="",AC86=""))),"PENDING",IF(COUNTIF(AD86:AH86,"HIGH")=5,"INCLUDE","PENDING"))))</f>
        <v/>
      </c>
      <c r="F86" s="53" t="n"/>
      <c r="G86" s="81" t="n"/>
      <c r="H86" s="81" t="n"/>
      <c r="I86" s="53" t="n"/>
      <c r="J86" s="53" t="n"/>
      <c r="K86" s="75" t="str">
        <f>IF(A86="","",IF(J86="AUTO",H86,IF(J86="MANUAL",AK86,"")))</f>
        <v/>
      </c>
      <c r="L86" s="53" t="n"/>
      <c r="M86" s="2" t="n"/>
      <c r="N86" s="53" t="str">
        <f>IF(A86="","",IF(COUNTIFS('Human Operation Desktop'!$A$3:$A$502,A86,'Human Operation Desktop'!$I$3:$I$502,"&lt;&gt;APPLIED",'Human Operation Desktop'!$I$3:$I$502,"&lt;&gt;REJECTED")&gt;0,"YES","NO"))</f>
        <v/>
      </c>
      <c r="O86" s="2" t="n"/>
      <c r="P86" s="53" t="n"/>
      <c r="Q86" s="53" t="n"/>
      <c r="R86" s="3" t="n"/>
      <c r="S86" s="53" t="n"/>
      <c r="T86" s="53" t="n"/>
      <c r="U86" s="53" t="n"/>
      <c r="V86" s="53" t="n"/>
      <c r="W86" s="53" t="n"/>
      <c r="X86" s="53" t="n"/>
      <c r="Y86" s="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76" t="n"/>
      <c r="AL86" s="3" t="n"/>
      <c r="AM86" s="53" t="n"/>
      <c r="AN86" s="53" t="n"/>
      <c r="AO86" s="53" t="n"/>
      <c r="AP86" s="53" t="n"/>
      <c r="AQ86" s="53" t="n"/>
      <c r="AR86" s="53" t="n"/>
      <c r="AS86" s="3" t="n"/>
    </row>
    <row r="87" ht="20" customHeight="1">
      <c r="A87" s="33" t="n"/>
      <c r="B87" s="33" t="n"/>
      <c r="C87" s="97" t="n"/>
      <c r="D87" s="56" t="n"/>
      <c r="E87" s="56" t="str">
        <f>IF(A87="","",IF(OR(AJ87="EXCLUDE",COUNTIF(AD87:AH87,"LOW")&gt;0),"EXCLUDE",IF(OR(AJ87&lt;&gt;"INCLUDE",F87&lt;&gt;"SUCCESS",D87&lt;&gt;"STORED",U87="",AP87="",AQ87="",AQ87="UNVERIFIED",AND(AP87="OFFICIAL_WEBSITE",Q87=""),AND(OR(AA87="Equipment manual / OEM instruction",AB87="Asset-specific normative"),OR(Z87&lt;&gt;"Manufacturer / supplier",AS87="",AC87=""))),"PENDING",IF(COUNTIF(AD87:AH87,"HIGH")=5,"INCLUDE","PENDING"))))</f>
        <v/>
      </c>
      <c r="F87" s="56" t="n"/>
      <c r="G87" s="81" t="n"/>
      <c r="H87" s="81" t="n"/>
      <c r="I87" s="56" t="n"/>
      <c r="J87" s="56" t="n"/>
      <c r="K87" s="73" t="str">
        <f>IF(A87="","",IF(J87="AUTO",H87,IF(J87="MANUAL",AK87,"")))</f>
        <v/>
      </c>
      <c r="L87" s="56" t="n"/>
      <c r="M87" s="2" t="n"/>
      <c r="N87" s="56" t="str">
        <f>IF(A87="","",IF(COUNTIFS('Human Operation Desktop'!$A$3:$A$502,A87,'Human Operation Desktop'!$I$3:$I$502,"&lt;&gt;APPLIED",'Human Operation Desktop'!$I$3:$I$502,"&lt;&gt;REJECTED")&gt;0,"YES","NO"))</f>
        <v/>
      </c>
      <c r="O87" s="2" t="n"/>
      <c r="P87" s="56" t="n"/>
      <c r="Q87" s="56" t="n"/>
      <c r="R87" s="3" t="n"/>
      <c r="S87" s="56" t="n"/>
      <c r="T87" s="56" t="n"/>
      <c r="U87" s="56" t="n"/>
      <c r="V87" s="56" t="n"/>
      <c r="W87" s="56" t="n"/>
      <c r="X87" s="3" t="n"/>
      <c r="Y87" s="3" t="n"/>
      <c r="Z87" s="56" t="n"/>
      <c r="AA87" s="56" t="n"/>
      <c r="AB87" s="56" t="n"/>
      <c r="AC87" s="56" t="n"/>
      <c r="AD87" s="56" t="n"/>
      <c r="AE87" s="56" t="n"/>
      <c r="AF87" s="56" t="n"/>
      <c r="AG87" s="56" t="n"/>
      <c r="AH87" s="56" t="n"/>
      <c r="AI87" s="56" t="n"/>
      <c r="AJ87" s="56" t="n"/>
      <c r="AK87" s="76" t="n"/>
      <c r="AL87" s="3" t="n"/>
      <c r="AM87" s="56" t="n"/>
      <c r="AN87" s="56" t="n"/>
      <c r="AO87" s="56" t="n"/>
      <c r="AP87" s="56" t="n"/>
      <c r="AQ87" s="56" t="n"/>
      <c r="AR87" s="56" t="n"/>
      <c r="AS87" s="3" t="n"/>
    </row>
    <row r="88" ht="20" customHeight="1">
      <c r="A88" s="36" t="n"/>
      <c r="B88" s="36" t="n"/>
      <c r="C88" s="98" t="n"/>
      <c r="D88" s="53" t="n"/>
      <c r="E88" s="53" t="str">
        <f>IF(A88="","",IF(OR(AJ88="EXCLUDE",COUNTIF(AD88:AH88,"LOW")&gt;0),"EXCLUDE",IF(OR(AJ88&lt;&gt;"INCLUDE",F88&lt;&gt;"SUCCESS",D88&lt;&gt;"STORED",U88="",AP88="",AQ88="",AQ88="UNVERIFIED",AND(AP88="OFFICIAL_WEBSITE",Q88=""),AND(OR(AA88="Equipment manual / OEM instruction",AB88="Asset-specific normative"),OR(Z88&lt;&gt;"Manufacturer / supplier",AS88="",AC88=""))),"PENDING",IF(COUNTIF(AD88:AH88,"HIGH")=5,"INCLUDE","PENDING"))))</f>
        <v/>
      </c>
      <c r="F88" s="53" t="n"/>
      <c r="G88" s="81" t="n"/>
      <c r="H88" s="81" t="n"/>
      <c r="I88" s="53" t="n"/>
      <c r="J88" s="53" t="n"/>
      <c r="K88" s="75" t="str">
        <f>IF(A88="","",IF(J88="AUTO",H88,IF(J88="MANUAL",AK88,"")))</f>
        <v/>
      </c>
      <c r="L88" s="53" t="n"/>
      <c r="M88" s="2" t="n"/>
      <c r="N88" s="53" t="str">
        <f>IF(A88="","",IF(COUNTIFS('Human Operation Desktop'!$A$3:$A$502,A88,'Human Operation Desktop'!$I$3:$I$502,"&lt;&gt;APPLIED",'Human Operation Desktop'!$I$3:$I$502,"&lt;&gt;REJECTED")&gt;0,"YES","NO"))</f>
        <v/>
      </c>
      <c r="O88" s="2" t="n"/>
      <c r="P88" s="53" t="n"/>
      <c r="Q88" s="53" t="n"/>
      <c r="R88" s="3" t="n"/>
      <c r="S88" s="53" t="n"/>
      <c r="T88" s="53" t="n"/>
      <c r="U88" s="53" t="n"/>
      <c r="V88" s="53" t="n"/>
      <c r="W88" s="53" t="n"/>
      <c r="X88" s="3" t="n"/>
      <c r="Y88" s="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76" t="n"/>
      <c r="AL88" s="3" t="n"/>
      <c r="AM88" s="53" t="n"/>
      <c r="AN88" s="53" t="n"/>
      <c r="AO88" s="53" t="n"/>
      <c r="AP88" s="53" t="n"/>
      <c r="AQ88" s="53" t="n"/>
      <c r="AR88" s="53" t="n"/>
      <c r="AS88" s="3" t="n"/>
    </row>
    <row r="89" ht="20" customHeight="1">
      <c r="A89" s="33" t="n"/>
      <c r="B89" s="33" t="n"/>
      <c r="C89" s="97" t="n"/>
      <c r="D89" s="56" t="n"/>
      <c r="E89" s="56" t="str">
        <f>IF(A89="","",IF(OR(AJ89="EXCLUDE",COUNTIF(AD89:AH89,"LOW")&gt;0),"EXCLUDE",IF(OR(AJ89&lt;&gt;"INCLUDE",F89&lt;&gt;"SUCCESS",D89&lt;&gt;"STORED",U89="",AP89="",AQ89="",AQ89="UNVERIFIED",AND(AP89="OFFICIAL_WEBSITE",Q89=""),AND(OR(AA89="Equipment manual / OEM instruction",AB89="Asset-specific normative"),OR(Z89&lt;&gt;"Manufacturer / supplier",AS89="",AC89=""))),"PENDING",IF(COUNTIF(AD89:AH89,"HIGH")=5,"INCLUDE","PENDING"))))</f>
        <v/>
      </c>
      <c r="F89" s="56" t="n"/>
      <c r="G89" s="81" t="n"/>
      <c r="H89" s="81" t="n"/>
      <c r="I89" s="56" t="n"/>
      <c r="J89" s="56" t="n"/>
      <c r="K89" s="73" t="str">
        <f>IF(A89="","",IF(J89="AUTO",H89,IF(J89="MANUAL",AK89,"")))</f>
        <v/>
      </c>
      <c r="L89" s="56" t="n"/>
      <c r="M89" s="2" t="n"/>
      <c r="N89" s="56" t="str">
        <f>IF(A89="","",IF(COUNTIFS('Human Operation Desktop'!$A$3:$A$502,A89,'Human Operation Desktop'!$I$3:$I$502,"&lt;&gt;APPLIED",'Human Operation Desktop'!$I$3:$I$502,"&lt;&gt;REJECTED")&gt;0,"YES","NO"))</f>
        <v/>
      </c>
      <c r="O89" s="2" t="n"/>
      <c r="P89" s="56" t="n"/>
      <c r="Q89" s="56" t="n"/>
      <c r="R89" s="3" t="n"/>
      <c r="S89" s="56" t="n"/>
      <c r="T89" s="56" t="n"/>
      <c r="U89" s="56" t="n"/>
      <c r="V89" s="56" t="n"/>
      <c r="W89" s="56" t="n"/>
      <c r="X89" s="56" t="n"/>
      <c r="Y89" s="3" t="n"/>
      <c r="Z89" s="56" t="n"/>
      <c r="AA89" s="56" t="n"/>
      <c r="AB89" s="56" t="n"/>
      <c r="AC89" s="56" t="n"/>
      <c r="AD89" s="56" t="n"/>
      <c r="AE89" s="56" t="n"/>
      <c r="AF89" s="56" t="n"/>
      <c r="AG89" s="56" t="n"/>
      <c r="AH89" s="56" t="n"/>
      <c r="AI89" s="56" t="n"/>
      <c r="AJ89" s="56" t="n"/>
      <c r="AK89" s="76" t="n"/>
      <c r="AL89" s="3" t="n"/>
      <c r="AM89" s="56" t="n"/>
      <c r="AN89" s="56" t="n"/>
      <c r="AO89" s="56" t="n"/>
      <c r="AP89" s="56" t="n"/>
      <c r="AQ89" s="56" t="n"/>
      <c r="AR89" s="56" t="n"/>
      <c r="AS89" s="3" t="n"/>
    </row>
    <row r="90" ht="21" customHeight="1">
      <c r="A90" s="2" t="n"/>
      <c r="B90" s="2" t="n"/>
      <c r="C90" s="99" t="n"/>
      <c r="D90" s="2" t="n"/>
      <c r="E90" s="53" t="str">
        <f>IF(A90="","",IF(OR(AJ90="EXCLUDE",COUNTIF(AD90:AH90,"LOW")&gt;0),"EXCLUDE",IF(OR(AJ90&lt;&gt;"INCLUDE",F90&lt;&gt;"SUCCESS",D90&lt;&gt;"STORED",U90="",AP90="",AQ90="",AQ90="UNVERIFIED",AND(AP90="OFFICIAL_WEBSITE",Q90=""),AND(OR(AA90="Equipment manual / OEM instruction",AB90="Asset-specific normative"),OR(Z90&lt;&gt;"Manufacturer / supplier",AS90="",AC90=""))),"PENDING",IF(COUNTIF(AD90:AH90,"HIGH")=5,"INCLUDE","PENDING"))))</f>
        <v/>
      </c>
      <c r="F90" s="2" t="n"/>
      <c r="G90" s="81" t="n"/>
      <c r="H90" s="81" t="n"/>
      <c r="I90" s="2" t="n"/>
      <c r="J90" s="2" t="n"/>
      <c r="K90" s="75" t="str">
        <f>IF(A90="","",IF(J90="AUTO",H90,IF(J90="MANUAL",AK90,"")))</f>
        <v/>
      </c>
      <c r="L90" s="2" t="n"/>
      <c r="M90" s="2" t="n"/>
      <c r="N90" s="53" t="str">
        <f>IF(A90="","",IF(COUNTIFS('Human Operation Desktop'!$A$3:$A$502,A90,'Human Operation Desktop'!$I$3:$I$502,"&lt;&gt;APPLIED",'Human Operation Desktop'!$I$3:$I$502,"&lt;&gt;REJECTED")&gt;0,"YES","NO"))</f>
        <v/>
      </c>
      <c r="O90" s="2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76" t="n"/>
      <c r="AL90" s="3" t="n"/>
      <c r="AM90" s="3" t="n"/>
      <c r="AN90" s="3" t="n"/>
      <c r="AO90" s="3" t="n"/>
      <c r="AP90" s="3" t="n"/>
      <c r="AQ90" s="3" t="n"/>
      <c r="AR90" s="3" t="n"/>
      <c r="AS90" s="3" t="n"/>
    </row>
    <row r="91" ht="20" customHeight="1">
      <c r="A91" s="2" t="n"/>
      <c r="B91" s="2" t="n"/>
      <c r="C91" s="2" t="n"/>
      <c r="D91" s="2" t="n"/>
      <c r="E91" s="56" t="str">
        <f>IF(A91="","",IF(OR(AJ91="EXCLUDE",COUNTIF(AD91:AH91,"LOW")&gt;0),"EXCLUDE",IF(OR(AJ91&lt;&gt;"INCLUDE",F91&lt;&gt;"SUCCESS",D91&lt;&gt;"STORED",U91="",AP91="",AQ91="",AQ91="UNVERIFIED",AND(AP91="OFFICIAL_WEBSITE",Q91=""),AND(OR(AA91="Equipment manual / OEM instruction",AB91="Asset-specific normative"),OR(Z91&lt;&gt;"Manufacturer / supplier",AS91="",AC91=""))),"PENDING",IF(COUNTIF(AD91:AH91,"HIGH")=5,"INCLUDE","PENDING"))))</f>
        <v/>
      </c>
      <c r="F91" s="2" t="n"/>
      <c r="G91" s="81" t="n"/>
      <c r="H91" s="81" t="n"/>
      <c r="I91" s="2" t="n"/>
      <c r="J91" s="2" t="n"/>
      <c r="K91" s="73" t="str">
        <f>IF(A91="","",IF(J91="AUTO",H91,IF(J91="MANUAL",AK91,"")))</f>
        <v/>
      </c>
      <c r="L91" s="2" t="n"/>
      <c r="M91" s="2" t="n"/>
      <c r="N91" s="56" t="str">
        <f>IF(A91="","",IF(COUNTIFS('Human Operation Desktop'!$A$3:$A$502,A91,'Human Operation Desktop'!$I$3:$I$502,"&lt;&gt;APPLIED",'Human Operation Desktop'!$I$3:$I$502,"&lt;&gt;REJECTED")&gt;0,"YES","NO"))</f>
        <v/>
      </c>
      <c r="O91" s="2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76" t="n"/>
      <c r="AL91" s="3" t="n"/>
      <c r="AM91" s="3" t="n"/>
      <c r="AN91" s="3" t="n"/>
      <c r="AO91" s="3" t="n"/>
      <c r="AP91" s="3" t="n"/>
      <c r="AQ91" s="3" t="n"/>
      <c r="AR91" s="3" t="n"/>
      <c r="AS91" s="3" t="n"/>
    </row>
    <row r="92" ht="20" customHeight="1">
      <c r="A92" s="2" t="n"/>
      <c r="B92" s="2" t="n"/>
      <c r="C92" s="2" t="n"/>
      <c r="D92" s="2" t="n"/>
      <c r="E92" s="53" t="str">
        <f>IF(A92="","",IF(OR(AJ92="EXCLUDE",COUNTIF(AD92:AH92,"LOW")&gt;0),"EXCLUDE",IF(OR(AJ92&lt;&gt;"INCLUDE",F92&lt;&gt;"SUCCESS",D92&lt;&gt;"STORED",U92="",AP92="",AQ92="",AQ92="UNVERIFIED",AND(AP92="OFFICIAL_WEBSITE",Q92=""),AND(OR(AA92="Equipment manual / OEM instruction",AB92="Asset-specific normative"),OR(Z92&lt;&gt;"Manufacturer / supplier",AS92="",AC92=""))),"PENDING",IF(COUNTIF(AD92:AH92,"HIGH")=5,"INCLUDE","PENDING"))))</f>
        <v/>
      </c>
      <c r="F92" s="2" t="n"/>
      <c r="G92" s="81" t="n"/>
      <c r="H92" s="81" t="n"/>
      <c r="I92" s="2" t="n"/>
      <c r="J92" s="2" t="n"/>
      <c r="K92" s="75" t="str">
        <f>IF(A92="","",IF(J92="AUTO",H92,IF(J92="MANUAL",AK92,"")))</f>
        <v/>
      </c>
      <c r="L92" s="2" t="n"/>
      <c r="M92" s="2" t="n"/>
      <c r="N92" s="53" t="str">
        <f>IF(A92="","",IF(COUNTIFS('Human Operation Desktop'!$A$3:$A$502,A92,'Human Operation Desktop'!$I$3:$I$502,"&lt;&gt;APPLIED",'Human Operation Desktop'!$I$3:$I$502,"&lt;&gt;REJECTED")&gt;0,"YES","NO"))</f>
        <v/>
      </c>
      <c r="O92" s="2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76" t="n"/>
      <c r="AL92" s="3" t="n"/>
      <c r="AM92" s="3" t="n"/>
      <c r="AN92" s="3" t="n"/>
      <c r="AO92" s="3" t="n"/>
      <c r="AP92" s="3" t="n"/>
      <c r="AQ92" s="3" t="n"/>
      <c r="AR92" s="3" t="n"/>
      <c r="AS92" s="3" t="n"/>
    </row>
    <row r="93" ht="20" customHeight="1">
      <c r="A93" s="2" t="n"/>
      <c r="B93" s="2" t="n"/>
      <c r="C93" s="2" t="n"/>
      <c r="D93" s="2" t="n"/>
      <c r="E93" s="56" t="str">
        <f>IF(A93="","",IF(OR(AJ93="EXCLUDE",COUNTIF(AD93:AH93,"LOW")&gt;0),"EXCLUDE",IF(OR(AJ93&lt;&gt;"INCLUDE",F93&lt;&gt;"SUCCESS",D93&lt;&gt;"STORED",U93="",AP93="",AQ93="",AQ93="UNVERIFIED",AND(AP93="OFFICIAL_WEBSITE",Q93=""),AND(OR(AA93="Equipment manual / OEM instruction",AB93="Asset-specific normative"),OR(Z93&lt;&gt;"Manufacturer / supplier",AS93="",AC93=""))),"PENDING",IF(COUNTIF(AD93:AH93,"HIGH")=5,"INCLUDE","PENDING"))))</f>
        <v/>
      </c>
      <c r="F93" s="2" t="n"/>
      <c r="G93" s="81" t="n"/>
      <c r="H93" s="81" t="n"/>
      <c r="I93" s="2" t="n"/>
      <c r="J93" s="2" t="n"/>
      <c r="K93" s="73" t="str">
        <f>IF(A93="","",IF(J93="AUTO",H93,IF(J93="MANUAL",AK93,"")))</f>
        <v/>
      </c>
      <c r="L93" s="2" t="n"/>
      <c r="M93" s="2" t="n"/>
      <c r="N93" s="56" t="str">
        <f>IF(A93="","",IF(COUNTIFS('Human Operation Desktop'!$A$3:$A$502,A93,'Human Operation Desktop'!$I$3:$I$502,"&lt;&gt;APPLIED",'Human Operation Desktop'!$I$3:$I$502,"&lt;&gt;REJECTED")&gt;0,"YES","NO"))</f>
        <v/>
      </c>
      <c r="O93" s="2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76" t="n"/>
      <c r="AL93" s="3" t="n"/>
      <c r="AM93" s="3" t="n"/>
      <c r="AN93" s="3" t="n"/>
      <c r="AO93" s="3" t="n"/>
      <c r="AP93" s="3" t="n"/>
      <c r="AQ93" s="3" t="n"/>
      <c r="AR93" s="3" t="n"/>
      <c r="AS93" s="3" t="n"/>
    </row>
    <row r="94" ht="20" customHeight="1">
      <c r="A94" s="2" t="n"/>
      <c r="B94" s="2" t="n"/>
      <c r="C94" s="2" t="n"/>
      <c r="D94" s="2" t="n"/>
      <c r="E94" s="53" t="str">
        <f>IF(A94="","",IF(OR(AJ94="EXCLUDE",COUNTIF(AD94:AH94,"LOW")&gt;0),"EXCLUDE",IF(OR(AJ94&lt;&gt;"INCLUDE",F94&lt;&gt;"SUCCESS",D94&lt;&gt;"STORED",U94="",AP94="",AQ94="",AQ94="UNVERIFIED",AND(AP94="OFFICIAL_WEBSITE",Q94=""),AND(OR(AA94="Equipment manual / OEM instruction",AB94="Asset-specific normative"),OR(Z94&lt;&gt;"Manufacturer / supplier",AS94="",AC94=""))),"PENDING",IF(COUNTIF(AD94:AH94,"HIGH")=5,"INCLUDE","PENDING"))))</f>
        <v/>
      </c>
      <c r="F94" s="2" t="n"/>
      <c r="G94" s="81" t="n"/>
      <c r="H94" s="81" t="n"/>
      <c r="I94" s="2" t="n"/>
      <c r="J94" s="2" t="n"/>
      <c r="K94" s="75" t="str">
        <f>IF(A94="","",IF(J94="AUTO",H94,IF(J94="MANUAL",AK94,"")))</f>
        <v/>
      </c>
      <c r="L94" s="2" t="n"/>
      <c r="M94" s="2" t="n"/>
      <c r="N94" s="53" t="str">
        <f>IF(A94="","",IF(COUNTIFS('Human Operation Desktop'!$A$3:$A$502,A94,'Human Operation Desktop'!$I$3:$I$502,"&lt;&gt;APPLIED",'Human Operation Desktop'!$I$3:$I$502,"&lt;&gt;REJECTED")&gt;0,"YES","NO"))</f>
        <v/>
      </c>
      <c r="O94" s="2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76" t="n"/>
      <c r="AL94" s="3" t="n"/>
      <c r="AM94" s="3" t="n"/>
      <c r="AN94" s="3" t="n"/>
      <c r="AO94" s="3" t="n"/>
      <c r="AP94" s="3" t="n"/>
      <c r="AQ94" s="3" t="n"/>
      <c r="AR94" s="3" t="n"/>
      <c r="AS94" s="3" t="n"/>
    </row>
    <row r="95" ht="20" customHeight="1">
      <c r="A95" s="2" t="n"/>
      <c r="B95" s="2" t="n"/>
      <c r="C95" s="2" t="n"/>
      <c r="D95" s="2" t="n"/>
      <c r="E95" s="56" t="str">
        <f>IF(A95="","",IF(OR(AJ95="EXCLUDE",COUNTIF(AD95:AH95,"LOW")&gt;0),"EXCLUDE",IF(OR(AJ95&lt;&gt;"INCLUDE",F95&lt;&gt;"SUCCESS",D95&lt;&gt;"STORED",U95="",AP95="",AQ95="",AQ95="UNVERIFIED",AND(AP95="OFFICIAL_WEBSITE",Q95=""),AND(OR(AA95="Equipment manual / OEM instruction",AB95="Asset-specific normative"),OR(Z95&lt;&gt;"Manufacturer / supplier",AS95="",AC95=""))),"PENDING",IF(COUNTIF(AD95:AH95,"HIGH")=5,"INCLUDE","PENDING"))))</f>
        <v/>
      </c>
      <c r="F95" s="2" t="n"/>
      <c r="G95" s="81" t="n"/>
      <c r="H95" s="81" t="n"/>
      <c r="I95" s="2" t="n"/>
      <c r="J95" s="2" t="n"/>
      <c r="K95" s="73" t="str">
        <f>IF(A95="","",IF(J95="AUTO",H95,IF(J95="MANUAL",AK95,"")))</f>
        <v/>
      </c>
      <c r="L95" s="2" t="n"/>
      <c r="M95" s="2" t="n"/>
      <c r="N95" s="56" t="str">
        <f>IF(A95="","",IF(COUNTIFS('Human Operation Desktop'!$A$3:$A$502,A95,'Human Operation Desktop'!$I$3:$I$502,"&lt;&gt;APPLIED",'Human Operation Desktop'!$I$3:$I$502,"&lt;&gt;REJECTED")&gt;0,"YES","NO"))</f>
        <v/>
      </c>
      <c r="O95" s="2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76" t="n"/>
      <c r="AL95" s="3" t="n"/>
      <c r="AM95" s="3" t="n"/>
      <c r="AN95" s="3" t="n"/>
      <c r="AO95" s="3" t="n"/>
      <c r="AP95" s="3" t="n"/>
      <c r="AQ95" s="3" t="n"/>
      <c r="AR95" s="3" t="n"/>
      <c r="AS95" s="3" t="n"/>
    </row>
    <row r="96" ht="20" customHeight="1">
      <c r="A96" s="2" t="n"/>
      <c r="B96" s="2" t="n"/>
      <c r="C96" s="2" t="n"/>
      <c r="D96" s="2" t="n"/>
      <c r="E96" s="53" t="str">
        <f>IF(A96="","",IF(OR(AJ96="EXCLUDE",COUNTIF(AD96:AH96,"LOW")&gt;0),"EXCLUDE",IF(OR(AJ96&lt;&gt;"INCLUDE",F96&lt;&gt;"SUCCESS",D96&lt;&gt;"STORED",U96="",AP96="",AQ96="",AQ96="UNVERIFIED",AND(AP96="OFFICIAL_WEBSITE",Q96=""),AND(OR(AA96="Equipment manual / OEM instruction",AB96="Asset-specific normative"),OR(Z96&lt;&gt;"Manufacturer / supplier",AS96="",AC96=""))),"PENDING",IF(COUNTIF(AD96:AH96,"HIGH")=5,"INCLUDE","PENDING"))))</f>
        <v/>
      </c>
      <c r="F96" s="2" t="n"/>
      <c r="G96" s="81" t="n"/>
      <c r="H96" s="81" t="n"/>
      <c r="I96" s="2" t="n"/>
      <c r="J96" s="2" t="n"/>
      <c r="K96" s="75" t="str">
        <f>IF(A96="","",IF(J96="AUTO",H96,IF(J96="MANUAL",AK96,"")))</f>
        <v/>
      </c>
      <c r="L96" s="2" t="n"/>
      <c r="M96" s="2" t="n"/>
      <c r="N96" s="53" t="str">
        <f>IF(A96="","",IF(COUNTIFS('Human Operation Desktop'!$A$3:$A$502,A96,'Human Operation Desktop'!$I$3:$I$502,"&lt;&gt;APPLIED",'Human Operation Desktop'!$I$3:$I$502,"&lt;&gt;REJECTED")&gt;0,"YES","NO"))</f>
        <v/>
      </c>
      <c r="O96" s="2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76" t="n"/>
      <c r="AL96" s="3" t="n"/>
      <c r="AM96" s="3" t="n"/>
      <c r="AN96" s="3" t="n"/>
      <c r="AO96" s="3" t="n"/>
      <c r="AP96" s="3" t="n"/>
      <c r="AQ96" s="3" t="n"/>
      <c r="AR96" s="3" t="n"/>
      <c r="AS96" s="3" t="n"/>
    </row>
    <row r="97" ht="20" customHeight="1">
      <c r="A97" s="2" t="n"/>
      <c r="B97" s="2" t="n"/>
      <c r="C97" s="2" t="n"/>
      <c r="D97" s="2" t="n"/>
      <c r="E97" s="56" t="str">
        <f>IF(A97="","",IF(OR(AJ97="EXCLUDE",COUNTIF(AD97:AH97,"LOW")&gt;0),"EXCLUDE",IF(OR(AJ97&lt;&gt;"INCLUDE",F97&lt;&gt;"SUCCESS",D97&lt;&gt;"STORED",U97="",AP97="",AQ97="",AQ97="UNVERIFIED",AND(AP97="OFFICIAL_WEBSITE",Q97=""),AND(OR(AA97="Equipment manual / OEM instruction",AB97="Asset-specific normative"),OR(Z97&lt;&gt;"Manufacturer / supplier",AS97="",AC97=""))),"PENDING",IF(COUNTIF(AD97:AH97,"HIGH")=5,"INCLUDE","PENDING"))))</f>
        <v/>
      </c>
      <c r="F97" s="2" t="n"/>
      <c r="G97" s="81" t="n"/>
      <c r="H97" s="81" t="n"/>
      <c r="I97" s="2" t="n"/>
      <c r="J97" s="2" t="n"/>
      <c r="K97" s="73" t="str">
        <f>IF(A97="","",IF(J97="AUTO",H97,IF(J97="MANUAL",AK97,"")))</f>
        <v/>
      </c>
      <c r="L97" s="2" t="n"/>
      <c r="M97" s="2" t="n"/>
      <c r="N97" s="56" t="str">
        <f>IF(A97="","",IF(COUNTIFS('Human Operation Desktop'!$A$3:$A$502,A97,'Human Operation Desktop'!$I$3:$I$502,"&lt;&gt;APPLIED",'Human Operation Desktop'!$I$3:$I$502,"&lt;&gt;REJECTED")&gt;0,"YES","NO"))</f>
        <v/>
      </c>
      <c r="O97" s="2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76" t="n"/>
      <c r="AL97" s="3" t="n"/>
      <c r="AM97" s="3" t="n"/>
      <c r="AN97" s="3" t="n"/>
      <c r="AO97" s="3" t="n"/>
      <c r="AP97" s="3" t="n"/>
      <c r="AQ97" s="3" t="n"/>
      <c r="AR97" s="3" t="n"/>
      <c r="AS97" s="3" t="n"/>
    </row>
    <row r="98" ht="20" customHeight="1">
      <c r="A98" s="2" t="n"/>
      <c r="B98" s="2" t="n"/>
      <c r="C98" s="2" t="n"/>
      <c r="D98" s="2" t="n"/>
      <c r="E98" s="53" t="str">
        <f>IF(A98="","",IF(OR(AJ98="EXCLUDE",COUNTIF(AD98:AH98,"LOW")&gt;0),"EXCLUDE",IF(OR(AJ98&lt;&gt;"INCLUDE",F98&lt;&gt;"SUCCESS",D98&lt;&gt;"STORED",U98="",AP98="",AQ98="",AQ98="UNVERIFIED",AND(AP98="OFFICIAL_WEBSITE",Q98=""),AND(OR(AA98="Equipment manual / OEM instruction",AB98="Asset-specific normative"),OR(Z98&lt;&gt;"Manufacturer / supplier",AS98="",AC98=""))),"PENDING",IF(COUNTIF(AD98:AH98,"HIGH")=5,"INCLUDE","PENDING"))))</f>
        <v/>
      </c>
      <c r="F98" s="2" t="n"/>
      <c r="G98" s="81" t="n"/>
      <c r="H98" s="81" t="n"/>
      <c r="I98" s="2" t="n"/>
      <c r="J98" s="2" t="n"/>
      <c r="K98" s="75" t="str">
        <f>IF(A98="","",IF(J98="AUTO",H98,IF(J98="MANUAL",AK98,"")))</f>
        <v/>
      </c>
      <c r="L98" s="2" t="n"/>
      <c r="M98" s="2" t="n"/>
      <c r="N98" s="53" t="str">
        <f>IF(A98="","",IF(COUNTIFS('Human Operation Desktop'!$A$3:$A$502,A98,'Human Operation Desktop'!$I$3:$I$502,"&lt;&gt;APPLIED",'Human Operation Desktop'!$I$3:$I$502,"&lt;&gt;REJECTED")&gt;0,"YES","NO"))</f>
        <v/>
      </c>
      <c r="O98" s="2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76" t="n"/>
      <c r="AL98" s="3" t="n"/>
      <c r="AM98" s="3" t="n"/>
      <c r="AN98" s="3" t="n"/>
      <c r="AO98" s="3" t="n"/>
      <c r="AP98" s="3" t="n"/>
      <c r="AQ98" s="3" t="n"/>
      <c r="AR98" s="3" t="n"/>
      <c r="AS98" s="3" t="n"/>
    </row>
    <row r="99" ht="20" customHeight="1">
      <c r="A99" s="2" t="n"/>
      <c r="B99" s="2" t="n"/>
      <c r="C99" s="2" t="n"/>
      <c r="D99" s="2" t="n"/>
      <c r="E99" s="56" t="str">
        <f>IF(A99="","",IF(OR(AJ99="EXCLUDE",COUNTIF(AD99:AH99,"LOW")&gt;0),"EXCLUDE",IF(OR(AJ99&lt;&gt;"INCLUDE",F99&lt;&gt;"SUCCESS",D99&lt;&gt;"STORED",U99="",AP99="",AQ99="",AQ99="UNVERIFIED",AND(AP99="OFFICIAL_WEBSITE",Q99=""),AND(OR(AA99="Equipment manual / OEM instruction",AB99="Asset-specific normative"),OR(Z99&lt;&gt;"Manufacturer / supplier",AS99="",AC99=""))),"PENDING",IF(COUNTIF(AD99:AH99,"HIGH")=5,"INCLUDE","PENDING"))))</f>
        <v/>
      </c>
      <c r="F99" s="2" t="n"/>
      <c r="G99" s="81" t="n"/>
      <c r="H99" s="81" t="n"/>
      <c r="I99" s="2" t="n"/>
      <c r="J99" s="2" t="n"/>
      <c r="K99" s="73" t="str">
        <f>IF(A99="","",IF(J99="AUTO",H99,IF(J99="MANUAL",AK99,"")))</f>
        <v/>
      </c>
      <c r="L99" s="2" t="n"/>
      <c r="M99" s="2" t="n"/>
      <c r="N99" s="56" t="str">
        <f>IF(A99="","",IF(COUNTIFS('Human Operation Desktop'!$A$3:$A$502,A99,'Human Operation Desktop'!$I$3:$I$502,"&lt;&gt;APPLIED",'Human Operation Desktop'!$I$3:$I$502,"&lt;&gt;REJECTED")&gt;0,"YES","NO"))</f>
        <v/>
      </c>
      <c r="O99" s="2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76" t="n"/>
      <c r="AL99" s="3" t="n"/>
      <c r="AM99" s="3" t="n"/>
      <c r="AN99" s="3" t="n"/>
      <c r="AO99" s="3" t="n"/>
      <c r="AP99" s="3" t="n"/>
      <c r="AQ99" s="3" t="n"/>
      <c r="AR99" s="3" t="n"/>
      <c r="AS99" s="3" t="n"/>
    </row>
    <row r="100" ht="20" customHeight="1">
      <c r="A100" s="2" t="n"/>
      <c r="B100" s="2" t="n"/>
      <c r="C100" s="2" t="n"/>
      <c r="D100" s="2" t="n"/>
      <c r="E100" s="53" t="str">
        <f>IF(A100="","",IF(OR(AJ100="EXCLUDE",COUNTIF(AD100:AH100,"LOW")&gt;0),"EXCLUDE",IF(OR(AJ100&lt;&gt;"INCLUDE",F100&lt;&gt;"SUCCESS",D100&lt;&gt;"STORED",U100="",AP100="",AQ100="",AQ100="UNVERIFIED",AND(AP100="OFFICIAL_WEBSITE",Q100=""),AND(OR(AA100="Equipment manual / OEM instruction",AB100="Asset-specific normative"),OR(Z100&lt;&gt;"Manufacturer / supplier",AS100="",AC100=""))),"PENDING",IF(COUNTIF(AD100:AH100,"HIGH")=5,"INCLUDE","PENDING"))))</f>
        <v/>
      </c>
      <c r="F100" s="2" t="n"/>
      <c r="G100" s="81" t="n"/>
      <c r="H100" s="81" t="n"/>
      <c r="I100" s="2" t="n"/>
      <c r="J100" s="2" t="n"/>
      <c r="K100" s="75" t="str">
        <f>IF(A100="","",IF(J100="AUTO",H100,IF(J100="MANUAL",AK100,"")))</f>
        <v/>
      </c>
      <c r="L100" s="2" t="n"/>
      <c r="M100" s="2" t="n"/>
      <c r="N100" s="53" t="str">
        <f>IF(A100="","",IF(COUNTIFS('Human Operation Desktop'!$A$3:$A$502,A100,'Human Operation Desktop'!$I$3:$I$502,"&lt;&gt;APPLIED",'Human Operation Desktop'!$I$3:$I$502,"&lt;&gt;REJECTED")&gt;0,"YES","NO"))</f>
        <v/>
      </c>
      <c r="O100" s="2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76" t="n"/>
      <c r="AL100" s="3" t="n"/>
      <c r="AM100" s="3" t="n"/>
      <c r="AN100" s="3" t="n"/>
      <c r="AO100" s="3" t="n"/>
      <c r="AP100" s="3" t="n"/>
      <c r="AQ100" s="3" t="n"/>
      <c r="AR100" s="3" t="n"/>
      <c r="AS100" s="3" t="n"/>
    </row>
    <row r="101" ht="20" customHeight="1">
      <c r="A101" s="2" t="n"/>
      <c r="B101" s="2" t="n"/>
      <c r="C101" s="2" t="n"/>
      <c r="D101" s="2" t="n"/>
      <c r="E101" s="56" t="str">
        <f>IF(A101="","",IF(OR(AJ101="EXCLUDE",COUNTIF(AD101:AH101,"LOW")&gt;0),"EXCLUDE",IF(OR(AJ101&lt;&gt;"INCLUDE",F101&lt;&gt;"SUCCESS",D101&lt;&gt;"STORED",U101="",AP101="",AQ101="",AQ101="UNVERIFIED",AND(AP101="OFFICIAL_WEBSITE",Q101=""),AND(OR(AA101="Equipment manual / OEM instruction",AB101="Asset-specific normative"),OR(Z101&lt;&gt;"Manufacturer / supplier",AS101="",AC101=""))),"PENDING",IF(COUNTIF(AD101:AH101,"HIGH")=5,"INCLUDE","PENDING"))))</f>
        <v/>
      </c>
      <c r="F101" s="2" t="n"/>
      <c r="G101" s="81" t="n"/>
      <c r="H101" s="81" t="n"/>
      <c r="I101" s="2" t="n"/>
      <c r="J101" s="2" t="n"/>
      <c r="K101" s="73" t="str">
        <f>IF(A101="","",IF(J101="AUTO",H101,IF(J101="MANUAL",AK101,"")))</f>
        <v/>
      </c>
      <c r="L101" s="2" t="n"/>
      <c r="M101" s="2" t="n"/>
      <c r="N101" s="56" t="str">
        <f>IF(A101="","",IF(COUNTIFS('Human Operation Desktop'!$A$3:$A$502,A101,'Human Operation Desktop'!$I$3:$I$502,"&lt;&gt;APPLIED",'Human Operation Desktop'!$I$3:$I$502,"&lt;&gt;REJECTED")&gt;0,"YES","NO"))</f>
        <v/>
      </c>
      <c r="O101" s="2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76" t="n"/>
      <c r="AL101" s="3" t="n"/>
      <c r="AM101" s="3" t="n"/>
      <c r="AN101" s="3" t="n"/>
      <c r="AO101" s="3" t="n"/>
      <c r="AP101" s="3" t="n"/>
      <c r="AQ101" s="3" t="n"/>
      <c r="AR101" s="3" t="n"/>
      <c r="AS101" s="3" t="n"/>
    </row>
    <row r="102" ht="20" customHeight="1">
      <c r="A102" s="2" t="n"/>
      <c r="B102" s="2" t="n"/>
      <c r="C102" s="2" t="n"/>
      <c r="D102" s="2" t="n"/>
      <c r="E102" s="53" t="str">
        <f>IF(A102="","",IF(OR(AJ102="EXCLUDE",COUNTIF(AD102:AH102,"LOW")&gt;0),"EXCLUDE",IF(OR(AJ102&lt;&gt;"INCLUDE",F102&lt;&gt;"SUCCESS",D102&lt;&gt;"STORED",U102="",AP102="",AQ102="",AQ102="UNVERIFIED",AND(AP102="OFFICIAL_WEBSITE",Q102=""),AND(OR(AA102="Equipment manual / OEM instruction",AB102="Asset-specific normative"),OR(Z102&lt;&gt;"Manufacturer / supplier",AS102="",AC102=""))),"PENDING",IF(COUNTIF(AD102:AH102,"HIGH")=5,"INCLUDE","PENDING"))))</f>
        <v/>
      </c>
      <c r="F102" s="2" t="n"/>
      <c r="G102" s="81" t="n"/>
      <c r="H102" s="81" t="n"/>
      <c r="I102" s="2" t="n"/>
      <c r="J102" s="2" t="n"/>
      <c r="K102" s="75" t="str">
        <f>IF(A102="","",IF(J102="AUTO",H102,IF(J102="MANUAL",AK102,"")))</f>
        <v/>
      </c>
      <c r="L102" s="2" t="n"/>
      <c r="M102" s="2" t="n"/>
      <c r="N102" s="53" t="str">
        <f>IF(A102="","",IF(COUNTIFS('Human Operation Desktop'!$A$3:$A$502,A102,'Human Operation Desktop'!$I$3:$I$502,"&lt;&gt;APPLIED",'Human Operation Desktop'!$I$3:$I$502,"&lt;&gt;REJECTED")&gt;0,"YES","NO"))</f>
        <v/>
      </c>
      <c r="O102" s="2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76" t="n"/>
      <c r="AL102" s="3" t="n"/>
      <c r="AM102" s="3" t="n"/>
      <c r="AN102" s="3" t="n"/>
      <c r="AO102" s="3" t="n"/>
      <c r="AP102" s="3" t="n"/>
      <c r="AQ102" s="3" t="n"/>
      <c r="AR102" s="3" t="n"/>
      <c r="AS102" s="3" t="n"/>
    </row>
    <row r="103" ht="20" customHeight="1">
      <c r="A103" s="2" t="n"/>
      <c r="B103" s="2" t="n"/>
      <c r="C103" s="2" t="n"/>
      <c r="D103" s="2" t="n"/>
      <c r="E103" s="56" t="str">
        <f>IF(A103="","",IF(OR(AJ103="EXCLUDE",COUNTIF(AD103:AH103,"LOW")&gt;0),"EXCLUDE",IF(OR(AJ103&lt;&gt;"INCLUDE",F103&lt;&gt;"SUCCESS",D103&lt;&gt;"STORED",U103="",AP103="",AQ103="",AQ103="UNVERIFIED",AND(AP103="OFFICIAL_WEBSITE",Q103=""),AND(OR(AA103="Equipment manual / OEM instruction",AB103="Asset-specific normative"),OR(Z103&lt;&gt;"Manufacturer / supplier",AS103="",AC103=""))),"PENDING",IF(COUNTIF(AD103:AH103,"HIGH")=5,"INCLUDE","PENDING"))))</f>
        <v/>
      </c>
      <c r="F103" s="2" t="n"/>
      <c r="G103" s="81" t="n"/>
      <c r="H103" s="81" t="n"/>
      <c r="I103" s="2" t="n"/>
      <c r="J103" s="2" t="n"/>
      <c r="K103" s="73" t="str">
        <f>IF(A103="","",IF(J103="AUTO",H103,IF(J103="MANUAL",AK103,"")))</f>
        <v/>
      </c>
      <c r="L103" s="2" t="n"/>
      <c r="M103" s="2" t="n"/>
      <c r="N103" s="56" t="str">
        <f>IF(A103="","",IF(COUNTIFS('Human Operation Desktop'!$A$3:$A$502,A103,'Human Operation Desktop'!$I$3:$I$502,"&lt;&gt;APPLIED",'Human Operation Desktop'!$I$3:$I$502,"&lt;&gt;REJECTED")&gt;0,"YES","NO"))</f>
        <v/>
      </c>
      <c r="O103" s="2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76" t="n"/>
      <c r="AL103" s="3" t="n"/>
      <c r="AM103" s="3" t="n"/>
      <c r="AN103" s="3" t="n"/>
      <c r="AO103" s="3" t="n"/>
      <c r="AP103" s="3" t="n"/>
      <c r="AQ103" s="3" t="n"/>
      <c r="AR103" s="3" t="n"/>
      <c r="AS103" s="3" t="n"/>
    </row>
    <row r="104" ht="20" customHeight="1">
      <c r="A104" s="2" t="n"/>
      <c r="B104" s="2" t="n"/>
      <c r="C104" s="2" t="n"/>
      <c r="D104" s="2" t="n"/>
      <c r="E104" s="53" t="str">
        <f>IF(A104="","",IF(OR(AJ104="EXCLUDE",COUNTIF(AD104:AH104,"LOW")&gt;0),"EXCLUDE",IF(OR(AJ104&lt;&gt;"INCLUDE",F104&lt;&gt;"SUCCESS",D104&lt;&gt;"STORED",U104="",AP104="",AQ104="",AQ104="UNVERIFIED",AND(AP104="OFFICIAL_WEBSITE",Q104=""),AND(OR(AA104="Equipment manual / OEM instruction",AB104="Asset-specific normative"),OR(Z104&lt;&gt;"Manufacturer / supplier",AS104="",AC104=""))),"PENDING",IF(COUNTIF(AD104:AH104,"HIGH")=5,"INCLUDE","PENDING"))))</f>
        <v/>
      </c>
      <c r="F104" s="2" t="n"/>
      <c r="G104" s="81" t="n"/>
      <c r="H104" s="81" t="n"/>
      <c r="I104" s="2" t="n"/>
      <c r="J104" s="2" t="n"/>
      <c r="K104" s="75" t="str">
        <f>IF(A104="","",IF(J104="AUTO",H104,IF(J104="MANUAL",AK104,"")))</f>
        <v/>
      </c>
      <c r="L104" s="2" t="n"/>
      <c r="M104" s="2" t="n"/>
      <c r="N104" s="53" t="str">
        <f>IF(A104="","",IF(COUNTIFS('Human Operation Desktop'!$A$3:$A$502,A104,'Human Operation Desktop'!$I$3:$I$502,"&lt;&gt;APPLIED",'Human Operation Desktop'!$I$3:$I$502,"&lt;&gt;REJECTED")&gt;0,"YES","NO"))</f>
        <v/>
      </c>
      <c r="O104" s="2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76" t="n"/>
      <c r="AL104" s="3" t="n"/>
      <c r="AM104" s="3" t="n"/>
      <c r="AN104" s="3" t="n"/>
      <c r="AO104" s="3" t="n"/>
      <c r="AP104" s="3" t="n"/>
      <c r="AQ104" s="3" t="n"/>
      <c r="AR104" s="3" t="n"/>
      <c r="AS104" s="3" t="n"/>
    </row>
    <row r="105" ht="20" customHeight="1">
      <c r="A105" s="2" t="n"/>
      <c r="B105" s="2" t="n"/>
      <c r="C105" s="2" t="n"/>
      <c r="D105" s="2" t="n"/>
      <c r="E105" s="56" t="str">
        <f>IF(A105="","",IF(OR(AJ105="EXCLUDE",COUNTIF(AD105:AH105,"LOW")&gt;0),"EXCLUDE",IF(OR(AJ105&lt;&gt;"INCLUDE",F105&lt;&gt;"SUCCESS",D105&lt;&gt;"STORED",U105="",AP105="",AQ105="",AQ105="UNVERIFIED",AND(AP105="OFFICIAL_WEBSITE",Q105=""),AND(OR(AA105="Equipment manual / OEM instruction",AB105="Asset-specific normative"),OR(Z105&lt;&gt;"Manufacturer / supplier",AS105="",AC105=""))),"PENDING",IF(COUNTIF(AD105:AH105,"HIGH")=5,"INCLUDE","PENDING"))))</f>
        <v/>
      </c>
      <c r="F105" s="2" t="n"/>
      <c r="G105" s="81" t="n"/>
      <c r="H105" s="81" t="n"/>
      <c r="I105" s="2" t="n"/>
      <c r="J105" s="2" t="n"/>
      <c r="K105" s="73" t="str">
        <f>IF(A105="","",IF(J105="AUTO",H105,IF(J105="MANUAL",AK105,"")))</f>
        <v/>
      </c>
      <c r="L105" s="2" t="n"/>
      <c r="M105" s="2" t="n"/>
      <c r="N105" s="56" t="str">
        <f>IF(A105="","",IF(COUNTIFS('Human Operation Desktop'!$A$3:$A$502,A105,'Human Operation Desktop'!$I$3:$I$502,"&lt;&gt;APPLIED",'Human Operation Desktop'!$I$3:$I$502,"&lt;&gt;REJECTED")&gt;0,"YES","NO"))</f>
        <v/>
      </c>
      <c r="O105" s="2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76" t="n"/>
      <c r="AL105" s="3" t="n"/>
      <c r="AM105" s="3" t="n"/>
      <c r="AN105" s="3" t="n"/>
      <c r="AO105" s="3" t="n"/>
      <c r="AP105" s="3" t="n"/>
      <c r="AQ105" s="3" t="n"/>
      <c r="AR105" s="3" t="n"/>
      <c r="AS105" s="3" t="n"/>
    </row>
    <row r="106" ht="20" customHeight="1">
      <c r="A106" s="2" t="n"/>
      <c r="B106" s="2" t="n"/>
      <c r="C106" s="2" t="n"/>
      <c r="D106" s="2" t="n"/>
      <c r="E106" s="53" t="str">
        <f>IF(A106="","",IF(OR(AJ106="EXCLUDE",COUNTIF(AD106:AH106,"LOW")&gt;0),"EXCLUDE",IF(OR(AJ106&lt;&gt;"INCLUDE",F106&lt;&gt;"SUCCESS",D106&lt;&gt;"STORED",U106="",AP106="",AQ106="",AQ106="UNVERIFIED",AND(AP106="OFFICIAL_WEBSITE",Q106=""),AND(OR(AA106="Equipment manual / OEM instruction",AB106="Asset-specific normative"),OR(Z106&lt;&gt;"Manufacturer / supplier",AS106="",AC106=""))),"PENDING",IF(COUNTIF(AD106:AH106,"HIGH")=5,"INCLUDE","PENDING"))))</f>
        <v/>
      </c>
      <c r="F106" s="2" t="n"/>
      <c r="G106" s="81" t="n"/>
      <c r="H106" s="81" t="n"/>
      <c r="I106" s="2" t="n"/>
      <c r="J106" s="2" t="n"/>
      <c r="K106" s="75" t="str">
        <f>IF(A106="","",IF(J106="AUTO",H106,IF(J106="MANUAL",AK106,"")))</f>
        <v/>
      </c>
      <c r="L106" s="2" t="n"/>
      <c r="M106" s="2" t="n"/>
      <c r="N106" s="53" t="str">
        <f>IF(A106="","",IF(COUNTIFS('Human Operation Desktop'!$A$3:$A$502,A106,'Human Operation Desktop'!$I$3:$I$502,"&lt;&gt;APPLIED",'Human Operation Desktop'!$I$3:$I$502,"&lt;&gt;REJECTED")&gt;0,"YES","NO"))</f>
        <v/>
      </c>
      <c r="O106" s="2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76" t="n"/>
      <c r="AL106" s="3" t="n"/>
      <c r="AM106" s="3" t="n"/>
      <c r="AN106" s="3" t="n"/>
      <c r="AO106" s="3" t="n"/>
      <c r="AP106" s="3" t="n"/>
      <c r="AQ106" s="3" t="n"/>
      <c r="AR106" s="3" t="n"/>
      <c r="AS106" s="3" t="n"/>
    </row>
    <row r="107" ht="20" customHeight="1">
      <c r="A107" s="2" t="n"/>
      <c r="B107" s="2" t="n"/>
      <c r="C107" s="2" t="n"/>
      <c r="D107" s="2" t="n"/>
      <c r="E107" s="56" t="str">
        <f>IF(A107="","",IF(OR(AJ107="EXCLUDE",COUNTIF(AD107:AH107,"LOW")&gt;0),"EXCLUDE",IF(OR(AJ107&lt;&gt;"INCLUDE",F107&lt;&gt;"SUCCESS",D107&lt;&gt;"STORED",U107="",AP107="",AQ107="",AQ107="UNVERIFIED",AND(AP107="OFFICIAL_WEBSITE",Q107=""),AND(OR(AA107="Equipment manual / OEM instruction",AB107="Asset-specific normative"),OR(Z107&lt;&gt;"Manufacturer / supplier",AS107="",AC107=""))),"PENDING",IF(COUNTIF(AD107:AH107,"HIGH")=5,"INCLUDE","PENDING"))))</f>
        <v/>
      </c>
      <c r="F107" s="2" t="n"/>
      <c r="G107" s="81" t="n"/>
      <c r="H107" s="81" t="n"/>
      <c r="I107" s="2" t="n"/>
      <c r="J107" s="2" t="n"/>
      <c r="K107" s="73" t="str">
        <f>IF(A107="","",IF(J107="AUTO",H107,IF(J107="MANUAL",AK107,"")))</f>
        <v/>
      </c>
      <c r="L107" s="2" t="n"/>
      <c r="M107" s="2" t="n"/>
      <c r="N107" s="56" t="str">
        <f>IF(A107="","",IF(COUNTIFS('Human Operation Desktop'!$A$3:$A$502,A107,'Human Operation Desktop'!$I$3:$I$502,"&lt;&gt;APPLIED",'Human Operation Desktop'!$I$3:$I$502,"&lt;&gt;REJECTED")&gt;0,"YES","NO"))</f>
        <v/>
      </c>
      <c r="O107" s="2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76" t="n"/>
      <c r="AL107" s="3" t="n"/>
      <c r="AM107" s="3" t="n"/>
      <c r="AN107" s="3" t="n"/>
      <c r="AO107" s="3" t="n"/>
      <c r="AP107" s="3" t="n"/>
      <c r="AQ107" s="3" t="n"/>
      <c r="AR107" s="3" t="n"/>
      <c r="AS107" s="3" t="n"/>
    </row>
    <row r="108" ht="20" customHeight="1">
      <c r="A108" s="2" t="n"/>
      <c r="B108" s="2" t="n"/>
      <c r="C108" s="2" t="n"/>
      <c r="D108" s="2" t="n"/>
      <c r="E108" s="53" t="str">
        <f>IF(A108="","",IF(OR(AJ108="EXCLUDE",COUNTIF(AD108:AH108,"LOW")&gt;0),"EXCLUDE",IF(OR(AJ108&lt;&gt;"INCLUDE",F108&lt;&gt;"SUCCESS",D108&lt;&gt;"STORED",U108="",AP108="",AQ108="",AQ108="UNVERIFIED",AND(AP108="OFFICIAL_WEBSITE",Q108=""),AND(OR(AA108="Equipment manual / OEM instruction",AB108="Asset-specific normative"),OR(Z108&lt;&gt;"Manufacturer / supplier",AS108="",AC108=""))),"PENDING",IF(COUNTIF(AD108:AH108,"HIGH")=5,"INCLUDE","PENDING"))))</f>
        <v/>
      </c>
      <c r="F108" s="2" t="n"/>
      <c r="G108" s="81" t="n"/>
      <c r="H108" s="81" t="n"/>
      <c r="I108" s="2" t="n"/>
      <c r="J108" s="2" t="n"/>
      <c r="K108" s="75" t="str">
        <f>IF(A108="","",IF(J108="AUTO",H108,IF(J108="MANUAL",AK108,"")))</f>
        <v/>
      </c>
      <c r="L108" s="2" t="n"/>
      <c r="M108" s="2" t="n"/>
      <c r="N108" s="53" t="str">
        <f>IF(A108="","",IF(COUNTIFS('Human Operation Desktop'!$A$3:$A$502,A108,'Human Operation Desktop'!$I$3:$I$502,"&lt;&gt;APPLIED",'Human Operation Desktop'!$I$3:$I$502,"&lt;&gt;REJECTED")&gt;0,"YES","NO"))</f>
        <v/>
      </c>
      <c r="O108" s="2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76" t="n"/>
      <c r="AL108" s="3" t="n"/>
      <c r="AM108" s="3" t="n"/>
      <c r="AN108" s="3" t="n"/>
      <c r="AO108" s="3" t="n"/>
      <c r="AP108" s="3" t="n"/>
      <c r="AQ108" s="3" t="n"/>
      <c r="AR108" s="3" t="n"/>
      <c r="AS108" s="3" t="n"/>
    </row>
    <row r="109" ht="20" customHeight="1">
      <c r="A109" s="2" t="n"/>
      <c r="B109" s="2" t="n"/>
      <c r="C109" s="2" t="n"/>
      <c r="D109" s="2" t="n"/>
      <c r="E109" s="56" t="str">
        <f>IF(A109="","",IF(OR(AJ109="EXCLUDE",COUNTIF(AD109:AH109,"LOW")&gt;0),"EXCLUDE",IF(OR(AJ109&lt;&gt;"INCLUDE",F109&lt;&gt;"SUCCESS",D109&lt;&gt;"STORED",U109="",AP109="",AQ109="",AQ109="UNVERIFIED",AND(AP109="OFFICIAL_WEBSITE",Q109=""),AND(OR(AA109="Equipment manual / OEM instruction",AB109="Asset-specific normative"),OR(Z109&lt;&gt;"Manufacturer / supplier",AS109="",AC109=""))),"PENDING",IF(COUNTIF(AD109:AH109,"HIGH")=5,"INCLUDE","PENDING"))))</f>
        <v/>
      </c>
      <c r="F109" s="2" t="n"/>
      <c r="G109" s="81" t="n"/>
      <c r="H109" s="81" t="n"/>
      <c r="I109" s="2" t="n"/>
      <c r="J109" s="2" t="n"/>
      <c r="K109" s="73" t="str">
        <f>IF(A109="","",IF(J109="AUTO",H109,IF(J109="MANUAL",AK109,"")))</f>
        <v/>
      </c>
      <c r="L109" s="2" t="n"/>
      <c r="M109" s="2" t="n"/>
      <c r="N109" s="56" t="str">
        <f>IF(A109="","",IF(COUNTIFS('Human Operation Desktop'!$A$3:$A$502,A109,'Human Operation Desktop'!$I$3:$I$502,"&lt;&gt;APPLIED",'Human Operation Desktop'!$I$3:$I$502,"&lt;&gt;REJECTED")&gt;0,"YES","NO"))</f>
        <v/>
      </c>
      <c r="O109" s="2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76" t="n"/>
      <c r="AL109" s="3" t="n"/>
      <c r="AM109" s="3" t="n"/>
      <c r="AN109" s="3" t="n"/>
      <c r="AO109" s="3" t="n"/>
      <c r="AP109" s="3" t="n"/>
      <c r="AQ109" s="3" t="n"/>
      <c r="AR109" s="3" t="n"/>
      <c r="AS109" s="3" t="n"/>
    </row>
    <row r="110" ht="20" customHeight="1">
      <c r="A110" s="2" t="n"/>
      <c r="B110" s="2" t="n"/>
      <c r="C110" s="2" t="n"/>
      <c r="D110" s="2" t="n"/>
      <c r="E110" s="53" t="str">
        <f>IF(A110="","",IF(OR(AJ110="EXCLUDE",COUNTIF(AD110:AH110,"LOW")&gt;0),"EXCLUDE",IF(OR(AJ110&lt;&gt;"INCLUDE",F110&lt;&gt;"SUCCESS",D110&lt;&gt;"STORED",U110="",AP110="",AQ110="",AQ110="UNVERIFIED",AND(AP110="OFFICIAL_WEBSITE",Q110=""),AND(OR(AA110="Equipment manual / OEM instruction",AB110="Asset-specific normative"),OR(Z110&lt;&gt;"Manufacturer / supplier",AS110="",AC110=""))),"PENDING",IF(COUNTIF(AD110:AH110,"HIGH")=5,"INCLUDE","PENDING"))))</f>
        <v/>
      </c>
      <c r="F110" s="2" t="n"/>
      <c r="G110" s="81" t="n"/>
      <c r="H110" s="81" t="n"/>
      <c r="I110" s="2" t="n"/>
      <c r="J110" s="2" t="n"/>
      <c r="K110" s="75" t="str">
        <f>IF(A110="","",IF(J110="AUTO",H110,IF(J110="MANUAL",AK110,"")))</f>
        <v/>
      </c>
      <c r="L110" s="2" t="n"/>
      <c r="M110" s="2" t="n"/>
      <c r="N110" s="53" t="str">
        <f>IF(A110="","",IF(COUNTIFS('Human Operation Desktop'!$A$3:$A$502,A110,'Human Operation Desktop'!$I$3:$I$502,"&lt;&gt;APPLIED",'Human Operation Desktop'!$I$3:$I$502,"&lt;&gt;REJECTED")&gt;0,"YES","NO"))</f>
        <v/>
      </c>
      <c r="O110" s="2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76" t="n"/>
      <c r="AL110" s="3" t="n"/>
      <c r="AM110" s="3" t="n"/>
      <c r="AN110" s="3" t="n"/>
      <c r="AO110" s="3" t="n"/>
      <c r="AP110" s="3" t="n"/>
      <c r="AQ110" s="3" t="n"/>
      <c r="AR110" s="3" t="n"/>
      <c r="AS110" s="3" t="n"/>
    </row>
    <row r="111" ht="20" customHeight="1">
      <c r="A111" s="2" t="n"/>
      <c r="B111" s="2" t="n"/>
      <c r="C111" s="2" t="n"/>
      <c r="D111" s="2" t="n"/>
      <c r="E111" s="56" t="str">
        <f>IF(A111="","",IF(OR(AJ111="EXCLUDE",COUNTIF(AD111:AH111,"LOW")&gt;0),"EXCLUDE",IF(OR(AJ111&lt;&gt;"INCLUDE",F111&lt;&gt;"SUCCESS",D111&lt;&gt;"STORED",U111="",AP111="",AQ111="",AQ111="UNVERIFIED",AND(AP111="OFFICIAL_WEBSITE",Q111=""),AND(OR(AA111="Equipment manual / OEM instruction",AB111="Asset-specific normative"),OR(Z111&lt;&gt;"Manufacturer / supplier",AS111="",AC111=""))),"PENDING",IF(COUNTIF(AD111:AH111,"HIGH")=5,"INCLUDE","PENDING"))))</f>
        <v/>
      </c>
      <c r="F111" s="2" t="n"/>
      <c r="G111" s="81" t="n"/>
      <c r="H111" s="81" t="n"/>
      <c r="I111" s="2" t="n"/>
      <c r="J111" s="2" t="n"/>
      <c r="K111" s="73" t="str">
        <f>IF(A111="","",IF(J111="AUTO",H111,IF(J111="MANUAL",AK111,"")))</f>
        <v/>
      </c>
      <c r="L111" s="2" t="n"/>
      <c r="M111" s="2" t="n"/>
      <c r="N111" s="56" t="str">
        <f>IF(A111="","",IF(COUNTIFS('Human Operation Desktop'!$A$3:$A$502,A111,'Human Operation Desktop'!$I$3:$I$502,"&lt;&gt;APPLIED",'Human Operation Desktop'!$I$3:$I$502,"&lt;&gt;REJECTED")&gt;0,"YES","NO"))</f>
        <v/>
      </c>
      <c r="O111" s="2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76" t="n"/>
      <c r="AL111" s="3" t="n"/>
      <c r="AM111" s="3" t="n"/>
      <c r="AN111" s="3" t="n"/>
      <c r="AO111" s="3" t="n"/>
      <c r="AP111" s="3" t="n"/>
      <c r="AQ111" s="3" t="n"/>
      <c r="AR111" s="3" t="n"/>
      <c r="AS111" s="3" t="n"/>
    </row>
    <row r="112" ht="20" customHeight="1">
      <c r="A112" s="2" t="n"/>
      <c r="B112" s="2" t="n"/>
      <c r="C112" s="2" t="n"/>
      <c r="D112" s="2" t="n"/>
      <c r="E112" s="53" t="str">
        <f>IF(A112="","",IF(OR(AJ112="EXCLUDE",COUNTIF(AD112:AH112,"LOW")&gt;0),"EXCLUDE",IF(OR(AJ112&lt;&gt;"INCLUDE",F112&lt;&gt;"SUCCESS",D112&lt;&gt;"STORED",U112="",AP112="",AQ112="",AQ112="UNVERIFIED",AND(AP112="OFFICIAL_WEBSITE",Q112=""),AND(OR(AA112="Equipment manual / OEM instruction",AB112="Asset-specific normative"),OR(Z112&lt;&gt;"Manufacturer / supplier",AS112="",AC112=""))),"PENDING",IF(COUNTIF(AD112:AH112,"HIGH")=5,"INCLUDE","PENDING"))))</f>
        <v/>
      </c>
      <c r="F112" s="2" t="n"/>
      <c r="G112" s="81" t="n"/>
      <c r="H112" s="81" t="n"/>
      <c r="I112" s="2" t="n"/>
      <c r="J112" s="2" t="n"/>
      <c r="K112" s="75" t="str">
        <f>IF(A112="","",IF(J112="AUTO",H112,IF(J112="MANUAL",AK112,"")))</f>
        <v/>
      </c>
      <c r="L112" s="2" t="n"/>
      <c r="M112" s="2" t="n"/>
      <c r="N112" s="53" t="str">
        <f>IF(A112="","",IF(COUNTIFS('Human Operation Desktop'!$A$3:$A$502,A112,'Human Operation Desktop'!$I$3:$I$502,"&lt;&gt;APPLIED",'Human Operation Desktop'!$I$3:$I$502,"&lt;&gt;REJECTED")&gt;0,"YES","NO"))</f>
        <v/>
      </c>
      <c r="O112" s="2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76" t="n"/>
      <c r="AL112" s="3" t="n"/>
      <c r="AM112" s="3" t="n"/>
      <c r="AN112" s="3" t="n"/>
      <c r="AO112" s="3" t="n"/>
      <c r="AP112" s="3" t="n"/>
      <c r="AQ112" s="3" t="n"/>
      <c r="AR112" s="3" t="n"/>
      <c r="AS112" s="3" t="n"/>
    </row>
    <row r="113" ht="20" customHeight="1">
      <c r="A113" s="2" t="n"/>
      <c r="B113" s="2" t="n"/>
      <c r="C113" s="2" t="n"/>
      <c r="D113" s="2" t="n"/>
      <c r="E113" s="56" t="str">
        <f>IF(A113="","",IF(OR(AJ113="EXCLUDE",COUNTIF(AD113:AH113,"LOW")&gt;0),"EXCLUDE",IF(OR(AJ113&lt;&gt;"INCLUDE",F113&lt;&gt;"SUCCESS",D113&lt;&gt;"STORED",U113="",AP113="",AQ113="",AQ113="UNVERIFIED",AND(AP113="OFFICIAL_WEBSITE",Q113=""),AND(OR(AA113="Equipment manual / OEM instruction",AB113="Asset-specific normative"),OR(Z113&lt;&gt;"Manufacturer / supplier",AS113="",AC113=""))),"PENDING",IF(COUNTIF(AD113:AH113,"HIGH")=5,"INCLUDE","PENDING"))))</f>
        <v/>
      </c>
      <c r="F113" s="2" t="n"/>
      <c r="G113" s="81" t="n"/>
      <c r="H113" s="81" t="n"/>
      <c r="I113" s="2" t="n"/>
      <c r="J113" s="2" t="n"/>
      <c r="K113" s="73" t="str">
        <f>IF(A113="","",IF(J113="AUTO",H113,IF(J113="MANUAL",AK113,"")))</f>
        <v/>
      </c>
      <c r="L113" s="2" t="n"/>
      <c r="M113" s="2" t="n"/>
      <c r="N113" s="56" t="str">
        <f>IF(A113="","",IF(COUNTIFS('Human Operation Desktop'!$A$3:$A$502,A113,'Human Operation Desktop'!$I$3:$I$502,"&lt;&gt;APPLIED",'Human Operation Desktop'!$I$3:$I$502,"&lt;&gt;REJECTED")&gt;0,"YES","NO"))</f>
        <v/>
      </c>
      <c r="O113" s="2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76" t="n"/>
      <c r="AL113" s="3" t="n"/>
      <c r="AM113" s="3" t="n"/>
      <c r="AN113" s="3" t="n"/>
      <c r="AO113" s="3" t="n"/>
      <c r="AP113" s="3" t="n"/>
      <c r="AQ113" s="3" t="n"/>
      <c r="AR113" s="3" t="n"/>
      <c r="AS113" s="3" t="n"/>
    </row>
    <row r="114" ht="20" customHeight="1">
      <c r="A114" s="2" t="n"/>
      <c r="B114" s="2" t="n"/>
      <c r="C114" s="2" t="n"/>
      <c r="D114" s="2" t="n"/>
      <c r="E114" s="53" t="str">
        <f>IF(A114="","",IF(OR(AJ114="EXCLUDE",COUNTIF(AD114:AH114,"LOW")&gt;0),"EXCLUDE",IF(OR(AJ114&lt;&gt;"INCLUDE",F114&lt;&gt;"SUCCESS",D114&lt;&gt;"STORED",U114="",AP114="",AQ114="",AQ114="UNVERIFIED",AND(AP114="OFFICIAL_WEBSITE",Q114=""),AND(OR(AA114="Equipment manual / OEM instruction",AB114="Asset-specific normative"),OR(Z114&lt;&gt;"Manufacturer / supplier",AS114="",AC114=""))),"PENDING",IF(COUNTIF(AD114:AH114,"HIGH")=5,"INCLUDE","PENDING"))))</f>
        <v/>
      </c>
      <c r="F114" s="2" t="n"/>
      <c r="G114" s="81" t="n"/>
      <c r="H114" s="81" t="n"/>
      <c r="I114" s="2" t="n"/>
      <c r="J114" s="2" t="n"/>
      <c r="K114" s="75" t="str">
        <f>IF(A114="","",IF(J114="AUTO",H114,IF(J114="MANUAL",AK114,"")))</f>
        <v/>
      </c>
      <c r="L114" s="2" t="n"/>
      <c r="M114" s="2" t="n"/>
      <c r="N114" s="53" t="str">
        <f>IF(A114="","",IF(COUNTIFS('Human Operation Desktop'!$A$3:$A$502,A114,'Human Operation Desktop'!$I$3:$I$502,"&lt;&gt;APPLIED",'Human Operation Desktop'!$I$3:$I$502,"&lt;&gt;REJECTED")&gt;0,"YES","NO"))</f>
        <v/>
      </c>
      <c r="O114" s="2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76" t="n"/>
      <c r="AL114" s="3" t="n"/>
      <c r="AM114" s="3" t="n"/>
      <c r="AN114" s="3" t="n"/>
      <c r="AO114" s="3" t="n"/>
      <c r="AP114" s="3" t="n"/>
      <c r="AQ114" s="3" t="n"/>
      <c r="AR114" s="3" t="n"/>
      <c r="AS114" s="3" t="n"/>
    </row>
    <row r="115" ht="20" customHeight="1">
      <c r="A115" s="2" t="n"/>
      <c r="B115" s="2" t="n"/>
      <c r="C115" s="2" t="n"/>
      <c r="D115" s="2" t="n"/>
      <c r="E115" s="56" t="str">
        <f>IF(A115="","",IF(OR(AJ115="EXCLUDE",COUNTIF(AD115:AH115,"LOW")&gt;0),"EXCLUDE",IF(OR(AJ115&lt;&gt;"INCLUDE",F115&lt;&gt;"SUCCESS",D115&lt;&gt;"STORED",U115="",AP115="",AQ115="",AQ115="UNVERIFIED",AND(AP115="OFFICIAL_WEBSITE",Q115=""),AND(OR(AA115="Equipment manual / OEM instruction",AB115="Asset-specific normative"),OR(Z115&lt;&gt;"Manufacturer / supplier",AS115="",AC115=""))),"PENDING",IF(COUNTIF(AD115:AH115,"HIGH")=5,"INCLUDE","PENDING"))))</f>
        <v/>
      </c>
      <c r="F115" s="2" t="n"/>
      <c r="G115" s="81" t="n"/>
      <c r="H115" s="81" t="n"/>
      <c r="I115" s="2" t="n"/>
      <c r="J115" s="2" t="n"/>
      <c r="K115" s="73" t="str">
        <f>IF(A115="","",IF(J115="AUTO",H115,IF(J115="MANUAL",AK115,"")))</f>
        <v/>
      </c>
      <c r="L115" s="2" t="n"/>
      <c r="M115" s="2" t="n"/>
      <c r="N115" s="56" t="str">
        <f>IF(A115="","",IF(COUNTIFS('Human Operation Desktop'!$A$3:$A$502,A115,'Human Operation Desktop'!$I$3:$I$502,"&lt;&gt;APPLIED",'Human Operation Desktop'!$I$3:$I$502,"&lt;&gt;REJECTED")&gt;0,"YES","NO"))</f>
        <v/>
      </c>
      <c r="O115" s="2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76" t="n"/>
      <c r="AL115" s="3" t="n"/>
      <c r="AM115" s="3" t="n"/>
      <c r="AN115" s="3" t="n"/>
      <c r="AO115" s="3" t="n"/>
      <c r="AP115" s="3" t="n"/>
      <c r="AQ115" s="3" t="n"/>
      <c r="AR115" s="3" t="n"/>
      <c r="AS115" s="3" t="n"/>
    </row>
    <row r="116" ht="20" customHeight="1">
      <c r="A116" s="2" t="n"/>
      <c r="B116" s="2" t="n"/>
      <c r="C116" s="2" t="n"/>
      <c r="D116" s="2" t="n"/>
      <c r="E116" s="53" t="str">
        <f>IF(A116="","",IF(OR(AJ116="EXCLUDE",COUNTIF(AD116:AH116,"LOW")&gt;0),"EXCLUDE",IF(OR(AJ116&lt;&gt;"INCLUDE",F116&lt;&gt;"SUCCESS",D116&lt;&gt;"STORED",U116="",AP116="",AQ116="",AQ116="UNVERIFIED",AND(AP116="OFFICIAL_WEBSITE",Q116=""),AND(OR(AA116="Equipment manual / OEM instruction",AB116="Asset-specific normative"),OR(Z116&lt;&gt;"Manufacturer / supplier",AS116="",AC116=""))),"PENDING",IF(COUNTIF(AD116:AH116,"HIGH")=5,"INCLUDE","PENDING"))))</f>
        <v/>
      </c>
      <c r="F116" s="2" t="n"/>
      <c r="G116" s="81" t="n"/>
      <c r="H116" s="81" t="n"/>
      <c r="I116" s="2" t="n"/>
      <c r="J116" s="2" t="n"/>
      <c r="K116" s="75" t="str">
        <f>IF(A116="","",IF(J116="AUTO",H116,IF(J116="MANUAL",AK116,"")))</f>
        <v/>
      </c>
      <c r="L116" s="2" t="n"/>
      <c r="M116" s="2" t="n"/>
      <c r="N116" s="53" t="str">
        <f>IF(A116="","",IF(COUNTIFS('Human Operation Desktop'!$A$3:$A$502,A116,'Human Operation Desktop'!$I$3:$I$502,"&lt;&gt;APPLIED",'Human Operation Desktop'!$I$3:$I$502,"&lt;&gt;REJECTED")&gt;0,"YES","NO"))</f>
        <v/>
      </c>
      <c r="O116" s="2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76" t="n"/>
      <c r="AL116" s="3" t="n"/>
      <c r="AM116" s="3" t="n"/>
      <c r="AN116" s="3" t="n"/>
      <c r="AO116" s="3" t="n"/>
      <c r="AP116" s="3" t="n"/>
      <c r="AQ116" s="3" t="n"/>
      <c r="AR116" s="3" t="n"/>
      <c r="AS116" s="3" t="n"/>
    </row>
    <row r="117" ht="20" customHeight="1">
      <c r="A117" s="2" t="n"/>
      <c r="B117" s="2" t="n"/>
      <c r="C117" s="2" t="n"/>
      <c r="D117" s="2" t="n"/>
      <c r="E117" s="56" t="str">
        <f>IF(A117="","",IF(OR(AJ117="EXCLUDE",COUNTIF(AD117:AH117,"LOW")&gt;0),"EXCLUDE",IF(OR(AJ117&lt;&gt;"INCLUDE",F117&lt;&gt;"SUCCESS",D117&lt;&gt;"STORED",U117="",AP117="",AQ117="",AQ117="UNVERIFIED",AND(AP117="OFFICIAL_WEBSITE",Q117=""),AND(OR(AA117="Equipment manual / OEM instruction",AB117="Asset-specific normative"),OR(Z117&lt;&gt;"Manufacturer / supplier",AS117="",AC117=""))),"PENDING",IF(COUNTIF(AD117:AH117,"HIGH")=5,"INCLUDE","PENDING"))))</f>
        <v/>
      </c>
      <c r="F117" s="2" t="n"/>
      <c r="G117" s="81" t="n"/>
      <c r="H117" s="81" t="n"/>
      <c r="I117" s="2" t="n"/>
      <c r="J117" s="2" t="n"/>
      <c r="K117" s="73" t="str">
        <f>IF(A117="","",IF(J117="AUTO",H117,IF(J117="MANUAL",AK117,"")))</f>
        <v/>
      </c>
      <c r="L117" s="2" t="n"/>
      <c r="M117" s="2" t="n"/>
      <c r="N117" s="56" t="str">
        <f>IF(A117="","",IF(COUNTIFS('Human Operation Desktop'!$A$3:$A$502,A117,'Human Operation Desktop'!$I$3:$I$502,"&lt;&gt;APPLIED",'Human Operation Desktop'!$I$3:$I$502,"&lt;&gt;REJECTED")&gt;0,"YES","NO"))</f>
        <v/>
      </c>
      <c r="O117" s="2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76" t="n"/>
      <c r="AL117" s="3" t="n"/>
      <c r="AM117" s="3" t="n"/>
      <c r="AN117" s="3" t="n"/>
      <c r="AO117" s="3" t="n"/>
      <c r="AP117" s="3" t="n"/>
      <c r="AQ117" s="3" t="n"/>
      <c r="AR117" s="3" t="n"/>
      <c r="AS117" s="3" t="n"/>
    </row>
    <row r="118" ht="20" customHeight="1">
      <c r="A118" s="2" t="n"/>
      <c r="B118" s="2" t="n"/>
      <c r="C118" s="2" t="n"/>
      <c r="D118" s="2" t="n"/>
      <c r="E118" s="53" t="str">
        <f>IF(A118="","",IF(OR(AJ118="EXCLUDE",COUNTIF(AD118:AH118,"LOW")&gt;0),"EXCLUDE",IF(OR(AJ118&lt;&gt;"INCLUDE",F118&lt;&gt;"SUCCESS",D118&lt;&gt;"STORED",U118="",AP118="",AQ118="",AQ118="UNVERIFIED",AND(AP118="OFFICIAL_WEBSITE",Q118=""),AND(OR(AA118="Equipment manual / OEM instruction",AB118="Asset-specific normative"),OR(Z118&lt;&gt;"Manufacturer / supplier",AS118="",AC118=""))),"PENDING",IF(COUNTIF(AD118:AH118,"HIGH")=5,"INCLUDE","PENDING"))))</f>
        <v/>
      </c>
      <c r="F118" s="2" t="n"/>
      <c r="G118" s="81" t="n"/>
      <c r="H118" s="81" t="n"/>
      <c r="I118" s="2" t="n"/>
      <c r="J118" s="2" t="n"/>
      <c r="K118" s="75" t="str">
        <f>IF(A118="","",IF(J118="AUTO",H118,IF(J118="MANUAL",AK118,"")))</f>
        <v/>
      </c>
      <c r="L118" s="2" t="n"/>
      <c r="M118" s="2" t="n"/>
      <c r="N118" s="53" t="str">
        <f>IF(A118="","",IF(COUNTIFS('Human Operation Desktop'!$A$3:$A$502,A118,'Human Operation Desktop'!$I$3:$I$502,"&lt;&gt;APPLIED",'Human Operation Desktop'!$I$3:$I$502,"&lt;&gt;REJECTED")&gt;0,"YES","NO"))</f>
        <v/>
      </c>
      <c r="O118" s="2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76" t="n"/>
      <c r="AL118" s="3" t="n"/>
      <c r="AM118" s="3" t="n"/>
      <c r="AN118" s="3" t="n"/>
      <c r="AO118" s="3" t="n"/>
      <c r="AP118" s="3" t="n"/>
      <c r="AQ118" s="3" t="n"/>
      <c r="AR118" s="3" t="n"/>
      <c r="AS118" s="3" t="n"/>
    </row>
    <row r="119" ht="20" customHeight="1">
      <c r="A119" s="2" t="n"/>
      <c r="B119" s="2" t="n"/>
      <c r="C119" s="2" t="n"/>
      <c r="D119" s="2" t="n"/>
      <c r="E119" s="56" t="str">
        <f>IF(A119="","",IF(OR(AJ119="EXCLUDE",COUNTIF(AD119:AH119,"LOW")&gt;0),"EXCLUDE",IF(OR(AJ119&lt;&gt;"INCLUDE",F119&lt;&gt;"SUCCESS",D119&lt;&gt;"STORED",U119="",AP119="",AQ119="",AQ119="UNVERIFIED",AND(AP119="OFFICIAL_WEBSITE",Q119=""),AND(OR(AA119="Equipment manual / OEM instruction",AB119="Asset-specific normative"),OR(Z119&lt;&gt;"Manufacturer / supplier",AS119="",AC119=""))),"PENDING",IF(COUNTIF(AD119:AH119,"HIGH")=5,"INCLUDE","PENDING"))))</f>
        <v/>
      </c>
      <c r="F119" s="2" t="n"/>
      <c r="G119" s="81" t="n"/>
      <c r="H119" s="81" t="n"/>
      <c r="I119" s="2" t="n"/>
      <c r="J119" s="2" t="n"/>
      <c r="K119" s="73" t="str">
        <f>IF(A119="","",IF(J119="AUTO",H119,IF(J119="MANUAL",AK119,"")))</f>
        <v/>
      </c>
      <c r="L119" s="2" t="n"/>
      <c r="M119" s="2" t="n"/>
      <c r="N119" s="56" t="str">
        <f>IF(A119="","",IF(COUNTIFS('Human Operation Desktop'!$A$3:$A$502,A119,'Human Operation Desktop'!$I$3:$I$502,"&lt;&gt;APPLIED",'Human Operation Desktop'!$I$3:$I$502,"&lt;&gt;REJECTED")&gt;0,"YES","NO"))</f>
        <v/>
      </c>
      <c r="O119" s="2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76" t="n"/>
      <c r="AL119" s="3" t="n"/>
      <c r="AM119" s="3" t="n"/>
      <c r="AN119" s="3" t="n"/>
      <c r="AO119" s="3" t="n"/>
      <c r="AP119" s="3" t="n"/>
      <c r="AQ119" s="3" t="n"/>
      <c r="AR119" s="3" t="n"/>
      <c r="AS119" s="3" t="n"/>
    </row>
    <row r="120" ht="20" customHeight="1">
      <c r="A120" s="2" t="n"/>
      <c r="B120" s="2" t="n"/>
      <c r="C120" s="2" t="n"/>
      <c r="D120" s="2" t="n"/>
      <c r="E120" s="53" t="str">
        <f>IF(A120="","",IF(OR(AJ120="EXCLUDE",COUNTIF(AD120:AH120,"LOW")&gt;0),"EXCLUDE",IF(OR(AJ120&lt;&gt;"INCLUDE",F120&lt;&gt;"SUCCESS",D120&lt;&gt;"STORED",U120="",AP120="",AQ120="",AQ120="UNVERIFIED",AND(AP120="OFFICIAL_WEBSITE",Q120=""),AND(OR(AA120="Equipment manual / OEM instruction",AB120="Asset-specific normative"),OR(Z120&lt;&gt;"Manufacturer / supplier",AS120="",AC120=""))),"PENDING",IF(COUNTIF(AD120:AH120,"HIGH")=5,"INCLUDE","PENDING"))))</f>
        <v/>
      </c>
      <c r="F120" s="2" t="n"/>
      <c r="G120" s="81" t="n"/>
      <c r="H120" s="81" t="n"/>
      <c r="I120" s="2" t="n"/>
      <c r="J120" s="2" t="n"/>
      <c r="K120" s="75" t="str">
        <f>IF(A120="","",IF(J120="AUTO",H120,IF(J120="MANUAL",AK120,"")))</f>
        <v/>
      </c>
      <c r="L120" s="2" t="n"/>
      <c r="M120" s="2" t="n"/>
      <c r="N120" s="53" t="str">
        <f>IF(A120="","",IF(COUNTIFS('Human Operation Desktop'!$A$3:$A$502,A120,'Human Operation Desktop'!$I$3:$I$502,"&lt;&gt;APPLIED",'Human Operation Desktop'!$I$3:$I$502,"&lt;&gt;REJECTED")&gt;0,"YES","NO"))</f>
        <v/>
      </c>
      <c r="O120" s="2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76" t="n"/>
      <c r="AL120" s="3" t="n"/>
      <c r="AM120" s="3" t="n"/>
      <c r="AN120" s="3" t="n"/>
      <c r="AO120" s="3" t="n"/>
      <c r="AP120" s="3" t="n"/>
      <c r="AQ120" s="3" t="n"/>
      <c r="AR120" s="3" t="n"/>
      <c r="AS120" s="3" t="n"/>
    </row>
    <row r="121" ht="20" customHeight="1">
      <c r="A121" s="2" t="n"/>
      <c r="B121" s="2" t="n"/>
      <c r="C121" s="2" t="n"/>
      <c r="D121" s="2" t="n"/>
      <c r="E121" s="56" t="str">
        <f>IF(A121="","",IF(OR(AJ121="EXCLUDE",COUNTIF(AD121:AH121,"LOW")&gt;0),"EXCLUDE",IF(OR(AJ121&lt;&gt;"INCLUDE",F121&lt;&gt;"SUCCESS",D121&lt;&gt;"STORED",U121="",AP121="",AQ121="",AQ121="UNVERIFIED",AND(AP121="OFFICIAL_WEBSITE",Q121=""),AND(OR(AA121="Equipment manual / OEM instruction",AB121="Asset-specific normative"),OR(Z121&lt;&gt;"Manufacturer / supplier",AS121="",AC121=""))),"PENDING",IF(COUNTIF(AD121:AH121,"HIGH")=5,"INCLUDE","PENDING"))))</f>
        <v/>
      </c>
      <c r="F121" s="2" t="n"/>
      <c r="G121" s="81" t="n"/>
      <c r="H121" s="81" t="n"/>
      <c r="I121" s="2" t="n"/>
      <c r="J121" s="2" t="n"/>
      <c r="K121" s="73" t="str">
        <f>IF(A121="","",IF(J121="AUTO",H121,IF(J121="MANUAL",AK121,"")))</f>
        <v/>
      </c>
      <c r="L121" s="2" t="n"/>
      <c r="M121" s="2" t="n"/>
      <c r="N121" s="56" t="str">
        <f>IF(A121="","",IF(COUNTIFS('Human Operation Desktop'!$A$3:$A$502,A121,'Human Operation Desktop'!$I$3:$I$502,"&lt;&gt;APPLIED",'Human Operation Desktop'!$I$3:$I$502,"&lt;&gt;REJECTED")&gt;0,"YES","NO"))</f>
        <v/>
      </c>
      <c r="O121" s="2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76" t="n"/>
      <c r="AL121" s="3" t="n"/>
      <c r="AM121" s="3" t="n"/>
      <c r="AN121" s="3" t="n"/>
      <c r="AO121" s="3" t="n"/>
      <c r="AP121" s="3" t="n"/>
      <c r="AQ121" s="3" t="n"/>
      <c r="AR121" s="3" t="n"/>
      <c r="AS121" s="3" t="n"/>
    </row>
    <row r="122" ht="20" customHeight="1">
      <c r="A122" s="2" t="n"/>
      <c r="B122" s="2" t="n"/>
      <c r="C122" s="2" t="n"/>
      <c r="D122" s="2" t="n"/>
      <c r="E122" s="53" t="str">
        <f>IF(A122="","",IF(OR(AJ122="EXCLUDE",COUNTIF(AD122:AH122,"LOW")&gt;0),"EXCLUDE",IF(OR(AJ122&lt;&gt;"INCLUDE",F122&lt;&gt;"SUCCESS",D122&lt;&gt;"STORED",U122="",AP122="",AQ122="",AQ122="UNVERIFIED",AND(AP122="OFFICIAL_WEBSITE",Q122=""),AND(OR(AA122="Equipment manual / OEM instruction",AB122="Asset-specific normative"),OR(Z122&lt;&gt;"Manufacturer / supplier",AS122="",AC122=""))),"PENDING",IF(COUNTIF(AD122:AH122,"HIGH")=5,"INCLUDE","PENDING"))))</f>
        <v/>
      </c>
      <c r="F122" s="2" t="n"/>
      <c r="G122" s="81" t="n"/>
      <c r="H122" s="81" t="n"/>
      <c r="I122" s="2" t="n"/>
      <c r="J122" s="2" t="n"/>
      <c r="K122" s="75" t="str">
        <f>IF(A122="","",IF(J122="AUTO",H122,IF(J122="MANUAL",AK122,"")))</f>
        <v/>
      </c>
      <c r="L122" s="2" t="n"/>
      <c r="M122" s="2" t="n"/>
      <c r="N122" s="53" t="str">
        <f>IF(A122="","",IF(COUNTIFS('Human Operation Desktop'!$A$3:$A$502,A122,'Human Operation Desktop'!$I$3:$I$502,"&lt;&gt;APPLIED",'Human Operation Desktop'!$I$3:$I$502,"&lt;&gt;REJECTED")&gt;0,"YES","NO"))</f>
        <v/>
      </c>
      <c r="O122" s="2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76" t="n"/>
      <c r="AL122" s="3" t="n"/>
      <c r="AM122" s="3" t="n"/>
      <c r="AN122" s="3" t="n"/>
      <c r="AO122" s="3" t="n"/>
      <c r="AP122" s="3" t="n"/>
      <c r="AQ122" s="3" t="n"/>
      <c r="AR122" s="3" t="n"/>
      <c r="AS122" s="3" t="n"/>
    </row>
    <row r="123" ht="20" customHeight="1">
      <c r="A123" s="2" t="n"/>
      <c r="B123" s="2" t="n"/>
      <c r="C123" s="2" t="n"/>
      <c r="D123" s="2" t="n"/>
      <c r="E123" s="56" t="str">
        <f>IF(A123="","",IF(OR(AJ123="EXCLUDE",COUNTIF(AD123:AH123,"LOW")&gt;0),"EXCLUDE",IF(OR(AJ123&lt;&gt;"INCLUDE",F123&lt;&gt;"SUCCESS",D123&lt;&gt;"STORED",U123="",AP123="",AQ123="",AQ123="UNVERIFIED",AND(AP123="OFFICIAL_WEBSITE",Q123=""),AND(OR(AA123="Equipment manual / OEM instruction",AB123="Asset-specific normative"),OR(Z123&lt;&gt;"Manufacturer / supplier",AS123="",AC123=""))),"PENDING",IF(COUNTIF(AD123:AH123,"HIGH")=5,"INCLUDE","PENDING"))))</f>
        <v/>
      </c>
      <c r="F123" s="2" t="n"/>
      <c r="G123" s="81" t="n"/>
      <c r="H123" s="81" t="n"/>
      <c r="I123" s="2" t="n"/>
      <c r="J123" s="2" t="n"/>
      <c r="K123" s="73" t="str">
        <f>IF(A123="","",IF(J123="AUTO",H123,IF(J123="MANUAL",AK123,"")))</f>
        <v/>
      </c>
      <c r="L123" s="2" t="n"/>
      <c r="M123" s="2" t="n"/>
      <c r="N123" s="56" t="str">
        <f>IF(A123="","",IF(COUNTIFS('Human Operation Desktop'!$A$3:$A$502,A123,'Human Operation Desktop'!$I$3:$I$502,"&lt;&gt;APPLIED",'Human Operation Desktop'!$I$3:$I$502,"&lt;&gt;REJECTED")&gt;0,"YES","NO"))</f>
        <v/>
      </c>
      <c r="O123" s="2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76" t="n"/>
      <c r="AL123" s="3" t="n"/>
      <c r="AM123" s="3" t="n"/>
      <c r="AN123" s="3" t="n"/>
      <c r="AO123" s="3" t="n"/>
      <c r="AP123" s="3" t="n"/>
      <c r="AQ123" s="3" t="n"/>
      <c r="AR123" s="3" t="n"/>
      <c r="AS123" s="3" t="n"/>
    </row>
    <row r="124" ht="20" customHeight="1">
      <c r="A124" s="2" t="n"/>
      <c r="B124" s="2" t="n"/>
      <c r="C124" s="2" t="n"/>
      <c r="D124" s="2" t="n"/>
      <c r="E124" s="53" t="str">
        <f>IF(A124="","",IF(OR(AJ124="EXCLUDE",COUNTIF(AD124:AH124,"LOW")&gt;0),"EXCLUDE",IF(OR(AJ124&lt;&gt;"INCLUDE",F124&lt;&gt;"SUCCESS",D124&lt;&gt;"STORED",U124="",AP124="",AQ124="",AQ124="UNVERIFIED",AND(AP124="OFFICIAL_WEBSITE",Q124=""),AND(OR(AA124="Equipment manual / OEM instruction",AB124="Asset-specific normative"),OR(Z124&lt;&gt;"Manufacturer / supplier",AS124="",AC124=""))),"PENDING",IF(COUNTIF(AD124:AH124,"HIGH")=5,"INCLUDE","PENDING"))))</f>
        <v/>
      </c>
      <c r="F124" s="2" t="n"/>
      <c r="G124" s="81" t="n"/>
      <c r="H124" s="81" t="n"/>
      <c r="I124" s="2" t="n"/>
      <c r="J124" s="2" t="n"/>
      <c r="K124" s="75" t="str">
        <f>IF(A124="","",IF(J124="AUTO",H124,IF(J124="MANUAL",AK124,"")))</f>
        <v/>
      </c>
      <c r="L124" s="2" t="n"/>
      <c r="M124" s="2" t="n"/>
      <c r="N124" s="53" t="str">
        <f>IF(A124="","",IF(COUNTIFS('Human Operation Desktop'!$A$3:$A$502,A124,'Human Operation Desktop'!$I$3:$I$502,"&lt;&gt;APPLIED",'Human Operation Desktop'!$I$3:$I$502,"&lt;&gt;REJECTED")&gt;0,"YES","NO"))</f>
        <v/>
      </c>
      <c r="O124" s="2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76" t="n"/>
      <c r="AL124" s="3" t="n"/>
      <c r="AM124" s="3" t="n"/>
      <c r="AN124" s="3" t="n"/>
      <c r="AO124" s="3" t="n"/>
      <c r="AP124" s="3" t="n"/>
      <c r="AQ124" s="3" t="n"/>
      <c r="AR124" s="3" t="n"/>
      <c r="AS124" s="3" t="n"/>
    </row>
    <row r="125" ht="20" customHeight="1">
      <c r="A125" s="2" t="n"/>
      <c r="B125" s="2" t="n"/>
      <c r="C125" s="2" t="n"/>
      <c r="D125" s="2" t="n"/>
      <c r="E125" s="56" t="str">
        <f>IF(A125="","",IF(OR(AJ125="EXCLUDE",COUNTIF(AD125:AH125,"LOW")&gt;0),"EXCLUDE",IF(OR(AJ125&lt;&gt;"INCLUDE",F125&lt;&gt;"SUCCESS",D125&lt;&gt;"STORED",U125="",AP125="",AQ125="",AQ125="UNVERIFIED",AND(AP125="OFFICIAL_WEBSITE",Q125=""),AND(OR(AA125="Equipment manual / OEM instruction",AB125="Asset-specific normative"),OR(Z125&lt;&gt;"Manufacturer / supplier",AS125="",AC125=""))),"PENDING",IF(COUNTIF(AD125:AH125,"HIGH")=5,"INCLUDE","PENDING"))))</f>
        <v/>
      </c>
      <c r="F125" s="2" t="n"/>
      <c r="G125" s="81" t="n"/>
      <c r="H125" s="81" t="n"/>
      <c r="I125" s="2" t="n"/>
      <c r="J125" s="2" t="n"/>
      <c r="K125" s="73" t="str">
        <f>IF(A125="","",IF(J125="AUTO",H125,IF(J125="MANUAL",AK125,"")))</f>
        <v/>
      </c>
      <c r="L125" s="2" t="n"/>
      <c r="M125" s="2" t="n"/>
      <c r="N125" s="56" t="str">
        <f>IF(A125="","",IF(COUNTIFS('Human Operation Desktop'!$A$3:$A$502,A125,'Human Operation Desktop'!$I$3:$I$502,"&lt;&gt;APPLIED",'Human Operation Desktop'!$I$3:$I$502,"&lt;&gt;REJECTED")&gt;0,"YES","NO"))</f>
        <v/>
      </c>
      <c r="O125" s="2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76" t="n"/>
      <c r="AL125" s="3" t="n"/>
      <c r="AM125" s="3" t="n"/>
      <c r="AN125" s="3" t="n"/>
      <c r="AO125" s="3" t="n"/>
      <c r="AP125" s="3" t="n"/>
      <c r="AQ125" s="3" t="n"/>
      <c r="AR125" s="3" t="n"/>
      <c r="AS125" s="3" t="n"/>
    </row>
    <row r="126" ht="20" customHeight="1">
      <c r="A126" s="2" t="n"/>
      <c r="B126" s="2" t="n"/>
      <c r="C126" s="2" t="n"/>
      <c r="D126" s="2" t="n"/>
      <c r="E126" s="53" t="str">
        <f>IF(A126="","",IF(OR(AJ126="EXCLUDE",COUNTIF(AD126:AH126,"LOW")&gt;0),"EXCLUDE",IF(OR(AJ126&lt;&gt;"INCLUDE",F126&lt;&gt;"SUCCESS",D126&lt;&gt;"STORED",U126="",AP126="",AQ126="",AQ126="UNVERIFIED",AND(AP126="OFFICIAL_WEBSITE",Q126=""),AND(OR(AA126="Equipment manual / OEM instruction",AB126="Asset-specific normative"),OR(Z126&lt;&gt;"Manufacturer / supplier",AS126="",AC126=""))),"PENDING",IF(COUNTIF(AD126:AH126,"HIGH")=5,"INCLUDE","PENDING"))))</f>
        <v/>
      </c>
      <c r="F126" s="2" t="n"/>
      <c r="G126" s="81" t="n"/>
      <c r="H126" s="81" t="n"/>
      <c r="I126" s="2" t="n"/>
      <c r="J126" s="2" t="n"/>
      <c r="K126" s="75" t="str">
        <f>IF(A126="","",IF(J126="AUTO",H126,IF(J126="MANUAL",AK126,"")))</f>
        <v/>
      </c>
      <c r="L126" s="2" t="n"/>
      <c r="M126" s="2" t="n"/>
      <c r="N126" s="53" t="str">
        <f>IF(A126="","",IF(COUNTIFS('Human Operation Desktop'!$A$3:$A$502,A126,'Human Operation Desktop'!$I$3:$I$502,"&lt;&gt;APPLIED",'Human Operation Desktop'!$I$3:$I$502,"&lt;&gt;REJECTED")&gt;0,"YES","NO"))</f>
        <v/>
      </c>
      <c r="O126" s="2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76" t="n"/>
      <c r="AL126" s="3" t="n"/>
      <c r="AM126" s="3" t="n"/>
      <c r="AN126" s="3" t="n"/>
      <c r="AO126" s="3" t="n"/>
      <c r="AP126" s="3" t="n"/>
      <c r="AQ126" s="3" t="n"/>
      <c r="AR126" s="3" t="n"/>
      <c r="AS126" s="3" t="n"/>
    </row>
    <row r="127" ht="20" customHeight="1">
      <c r="A127" s="2" t="n"/>
      <c r="B127" s="2" t="n"/>
      <c r="C127" s="2" t="n"/>
      <c r="D127" s="2" t="n"/>
      <c r="E127" s="56" t="str">
        <f>IF(A127="","",IF(OR(AJ127="EXCLUDE",COUNTIF(AD127:AH127,"LOW")&gt;0),"EXCLUDE",IF(OR(AJ127&lt;&gt;"INCLUDE",F127&lt;&gt;"SUCCESS",D127&lt;&gt;"STORED",U127="",AP127="",AQ127="",AQ127="UNVERIFIED",AND(AP127="OFFICIAL_WEBSITE",Q127=""),AND(OR(AA127="Equipment manual / OEM instruction",AB127="Asset-specific normative"),OR(Z127&lt;&gt;"Manufacturer / supplier",AS127="",AC127=""))),"PENDING",IF(COUNTIF(AD127:AH127,"HIGH")=5,"INCLUDE","PENDING"))))</f>
        <v/>
      </c>
      <c r="F127" s="2" t="n"/>
      <c r="G127" s="81" t="n"/>
      <c r="H127" s="81" t="n"/>
      <c r="I127" s="2" t="n"/>
      <c r="J127" s="2" t="n"/>
      <c r="K127" s="73" t="str">
        <f>IF(A127="","",IF(J127="AUTO",H127,IF(J127="MANUAL",AK127,"")))</f>
        <v/>
      </c>
      <c r="L127" s="2" t="n"/>
      <c r="M127" s="2" t="n"/>
      <c r="N127" s="56" t="str">
        <f>IF(A127="","",IF(COUNTIFS('Human Operation Desktop'!$A$3:$A$502,A127,'Human Operation Desktop'!$I$3:$I$502,"&lt;&gt;APPLIED",'Human Operation Desktop'!$I$3:$I$502,"&lt;&gt;REJECTED")&gt;0,"YES","NO"))</f>
        <v/>
      </c>
      <c r="O127" s="2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76" t="n"/>
      <c r="AL127" s="3" t="n"/>
      <c r="AM127" s="3" t="n"/>
      <c r="AN127" s="3" t="n"/>
      <c r="AO127" s="3" t="n"/>
      <c r="AP127" s="3" t="n"/>
      <c r="AQ127" s="3" t="n"/>
      <c r="AR127" s="3" t="n"/>
      <c r="AS127" s="3" t="n"/>
    </row>
    <row r="128" ht="20" customHeight="1">
      <c r="A128" s="2" t="n"/>
      <c r="B128" s="2" t="n"/>
      <c r="C128" s="2" t="n"/>
      <c r="D128" s="2" t="n"/>
      <c r="E128" s="53" t="str">
        <f>IF(A128="","",IF(OR(AJ128="EXCLUDE",COUNTIF(AD128:AH128,"LOW")&gt;0),"EXCLUDE",IF(OR(AJ128&lt;&gt;"INCLUDE",F128&lt;&gt;"SUCCESS",D128&lt;&gt;"STORED",U128="",AP128="",AQ128="",AQ128="UNVERIFIED",AND(AP128="OFFICIAL_WEBSITE",Q128=""),AND(OR(AA128="Equipment manual / OEM instruction",AB128="Asset-specific normative"),OR(Z128&lt;&gt;"Manufacturer / supplier",AS128="",AC128=""))),"PENDING",IF(COUNTIF(AD128:AH128,"HIGH")=5,"INCLUDE","PENDING"))))</f>
        <v/>
      </c>
      <c r="F128" s="2" t="n"/>
      <c r="G128" s="81" t="n"/>
      <c r="H128" s="81" t="n"/>
      <c r="I128" s="2" t="n"/>
      <c r="J128" s="2" t="n"/>
      <c r="K128" s="75" t="str">
        <f>IF(A128="","",IF(J128="AUTO",H128,IF(J128="MANUAL",AK128,"")))</f>
        <v/>
      </c>
      <c r="L128" s="2" t="n"/>
      <c r="M128" s="2" t="n"/>
      <c r="N128" s="53" t="str">
        <f>IF(A128="","",IF(COUNTIFS('Human Operation Desktop'!$A$3:$A$502,A128,'Human Operation Desktop'!$I$3:$I$502,"&lt;&gt;APPLIED",'Human Operation Desktop'!$I$3:$I$502,"&lt;&gt;REJECTED")&gt;0,"YES","NO"))</f>
        <v/>
      </c>
      <c r="O128" s="2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76" t="n"/>
      <c r="AL128" s="3" t="n"/>
      <c r="AM128" s="3" t="n"/>
      <c r="AN128" s="3" t="n"/>
      <c r="AO128" s="3" t="n"/>
      <c r="AP128" s="3" t="n"/>
      <c r="AQ128" s="3" t="n"/>
      <c r="AR128" s="3" t="n"/>
      <c r="AS128" s="3" t="n"/>
    </row>
    <row r="129" ht="20" customHeight="1">
      <c r="A129" s="2" t="n"/>
      <c r="B129" s="2" t="n"/>
      <c r="C129" s="2" t="n"/>
      <c r="D129" s="2" t="n"/>
      <c r="E129" s="56" t="str">
        <f>IF(A129="","",IF(OR(AJ129="EXCLUDE",COUNTIF(AD129:AH129,"LOW")&gt;0),"EXCLUDE",IF(OR(AJ129&lt;&gt;"INCLUDE",F129&lt;&gt;"SUCCESS",D129&lt;&gt;"STORED",U129="",AP129="",AQ129="",AQ129="UNVERIFIED",AND(AP129="OFFICIAL_WEBSITE",Q129=""),AND(OR(AA129="Equipment manual / OEM instruction",AB129="Asset-specific normative"),OR(Z129&lt;&gt;"Manufacturer / supplier",AS129="",AC129=""))),"PENDING",IF(COUNTIF(AD129:AH129,"HIGH")=5,"INCLUDE","PENDING"))))</f>
        <v/>
      </c>
      <c r="F129" s="2" t="n"/>
      <c r="G129" s="81" t="n"/>
      <c r="H129" s="81" t="n"/>
      <c r="I129" s="2" t="n"/>
      <c r="J129" s="2" t="n"/>
      <c r="K129" s="73" t="str">
        <f>IF(A129="","",IF(J129="AUTO",H129,IF(J129="MANUAL",AK129,"")))</f>
        <v/>
      </c>
      <c r="L129" s="2" t="n"/>
      <c r="M129" s="2" t="n"/>
      <c r="N129" s="56" t="str">
        <f>IF(A129="","",IF(COUNTIFS('Human Operation Desktop'!$A$3:$A$502,A129,'Human Operation Desktop'!$I$3:$I$502,"&lt;&gt;APPLIED",'Human Operation Desktop'!$I$3:$I$502,"&lt;&gt;REJECTED")&gt;0,"YES","NO"))</f>
        <v/>
      </c>
      <c r="O129" s="2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76" t="n"/>
      <c r="AL129" s="3" t="n"/>
      <c r="AM129" s="3" t="n"/>
      <c r="AN129" s="3" t="n"/>
      <c r="AO129" s="3" t="n"/>
      <c r="AP129" s="3" t="n"/>
      <c r="AQ129" s="3" t="n"/>
      <c r="AR129" s="3" t="n"/>
      <c r="AS129" s="3" t="n"/>
    </row>
    <row r="130" ht="20" customHeight="1">
      <c r="A130" s="2" t="n"/>
      <c r="B130" s="2" t="n"/>
      <c r="C130" s="2" t="n"/>
      <c r="D130" s="2" t="n"/>
      <c r="E130" s="53" t="str">
        <f>IF(A130="","",IF(OR(AJ130="EXCLUDE",COUNTIF(AD130:AH130,"LOW")&gt;0),"EXCLUDE",IF(OR(AJ130&lt;&gt;"INCLUDE",F130&lt;&gt;"SUCCESS",D130&lt;&gt;"STORED",U130="",AP130="",AQ130="",AQ130="UNVERIFIED",AND(AP130="OFFICIAL_WEBSITE",Q130=""),AND(OR(AA130="Equipment manual / OEM instruction",AB130="Asset-specific normative"),OR(Z130&lt;&gt;"Manufacturer / supplier",AS130="",AC130=""))),"PENDING",IF(COUNTIF(AD130:AH130,"HIGH")=5,"INCLUDE","PENDING"))))</f>
        <v/>
      </c>
      <c r="F130" s="2" t="n"/>
      <c r="G130" s="81" t="n"/>
      <c r="H130" s="81" t="n"/>
      <c r="I130" s="2" t="n"/>
      <c r="J130" s="2" t="n"/>
      <c r="K130" s="75" t="str">
        <f>IF(A130="","",IF(J130="AUTO",H130,IF(J130="MANUAL",AK130,"")))</f>
        <v/>
      </c>
      <c r="L130" s="2" t="n"/>
      <c r="M130" s="2" t="n"/>
      <c r="N130" s="53" t="str">
        <f>IF(A130="","",IF(COUNTIFS('Human Operation Desktop'!$A$3:$A$502,A130,'Human Operation Desktop'!$I$3:$I$502,"&lt;&gt;APPLIED",'Human Operation Desktop'!$I$3:$I$502,"&lt;&gt;REJECTED")&gt;0,"YES","NO"))</f>
        <v/>
      </c>
      <c r="O130" s="2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76" t="n"/>
      <c r="AL130" s="3" t="n"/>
      <c r="AM130" s="3" t="n"/>
      <c r="AN130" s="3" t="n"/>
      <c r="AO130" s="3" t="n"/>
      <c r="AP130" s="3" t="n"/>
      <c r="AQ130" s="3" t="n"/>
      <c r="AR130" s="3" t="n"/>
      <c r="AS130" s="3" t="n"/>
    </row>
    <row r="131" ht="20" customHeight="1">
      <c r="A131" s="2" t="n"/>
      <c r="B131" s="2" t="n"/>
      <c r="C131" s="2" t="n"/>
      <c r="D131" s="2" t="n"/>
      <c r="E131" s="56" t="str">
        <f>IF(A131="","",IF(OR(AJ131="EXCLUDE",COUNTIF(AD131:AH131,"LOW")&gt;0),"EXCLUDE",IF(OR(AJ131&lt;&gt;"INCLUDE",F131&lt;&gt;"SUCCESS",D131&lt;&gt;"STORED",U131="",AP131="",AQ131="",AQ131="UNVERIFIED",AND(AP131="OFFICIAL_WEBSITE",Q131=""),AND(OR(AA131="Equipment manual / OEM instruction",AB131="Asset-specific normative"),OR(Z131&lt;&gt;"Manufacturer / supplier",AS131="",AC131=""))),"PENDING",IF(COUNTIF(AD131:AH131,"HIGH")=5,"INCLUDE","PENDING"))))</f>
        <v/>
      </c>
      <c r="F131" s="2" t="n"/>
      <c r="G131" s="81" t="n"/>
      <c r="H131" s="81" t="n"/>
      <c r="I131" s="2" t="n"/>
      <c r="J131" s="2" t="n"/>
      <c r="K131" s="73" t="str">
        <f>IF(A131="","",IF(J131="AUTO",H131,IF(J131="MANUAL",AK131,"")))</f>
        <v/>
      </c>
      <c r="L131" s="2" t="n"/>
      <c r="M131" s="2" t="n"/>
      <c r="N131" s="56" t="str">
        <f>IF(A131="","",IF(COUNTIFS('Human Operation Desktop'!$A$3:$A$502,A131,'Human Operation Desktop'!$I$3:$I$502,"&lt;&gt;APPLIED",'Human Operation Desktop'!$I$3:$I$502,"&lt;&gt;REJECTED")&gt;0,"YES","NO"))</f>
        <v/>
      </c>
      <c r="O131" s="2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76" t="n"/>
      <c r="AL131" s="3" t="n"/>
      <c r="AM131" s="3" t="n"/>
      <c r="AN131" s="3" t="n"/>
      <c r="AO131" s="3" t="n"/>
      <c r="AP131" s="3" t="n"/>
      <c r="AQ131" s="3" t="n"/>
      <c r="AR131" s="3" t="n"/>
      <c r="AS131" s="3" t="n"/>
    </row>
    <row r="132" ht="20" customHeight="1">
      <c r="A132" s="2" t="n"/>
      <c r="B132" s="2" t="n"/>
      <c r="C132" s="2" t="n"/>
      <c r="D132" s="2" t="n"/>
      <c r="E132" s="53" t="str">
        <f>IF(A132="","",IF(OR(AJ132="EXCLUDE",COUNTIF(AD132:AH132,"LOW")&gt;0),"EXCLUDE",IF(OR(AJ132&lt;&gt;"INCLUDE",F132&lt;&gt;"SUCCESS",D132&lt;&gt;"STORED",U132="",AP132="",AQ132="",AQ132="UNVERIFIED",AND(AP132="OFFICIAL_WEBSITE",Q132=""),AND(OR(AA132="Equipment manual / OEM instruction",AB132="Asset-specific normative"),OR(Z132&lt;&gt;"Manufacturer / supplier",AS132="",AC132=""))),"PENDING",IF(COUNTIF(AD132:AH132,"HIGH")=5,"INCLUDE","PENDING"))))</f>
        <v/>
      </c>
      <c r="F132" s="2" t="n"/>
      <c r="G132" s="81" t="n"/>
      <c r="H132" s="81" t="n"/>
      <c r="I132" s="2" t="n"/>
      <c r="J132" s="2" t="n"/>
      <c r="K132" s="75" t="str">
        <f>IF(A132="","",IF(J132="AUTO",H132,IF(J132="MANUAL",AK132,"")))</f>
        <v/>
      </c>
      <c r="L132" s="2" t="n"/>
      <c r="M132" s="2" t="n"/>
      <c r="N132" s="53" t="str">
        <f>IF(A132="","",IF(COUNTIFS('Human Operation Desktop'!$A$3:$A$502,A132,'Human Operation Desktop'!$I$3:$I$502,"&lt;&gt;APPLIED",'Human Operation Desktop'!$I$3:$I$502,"&lt;&gt;REJECTED")&gt;0,"YES","NO"))</f>
        <v/>
      </c>
      <c r="O132" s="2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76" t="n"/>
      <c r="AL132" s="3" t="n"/>
      <c r="AM132" s="3" t="n"/>
      <c r="AN132" s="3" t="n"/>
      <c r="AO132" s="3" t="n"/>
      <c r="AP132" s="3" t="n"/>
      <c r="AQ132" s="3" t="n"/>
      <c r="AR132" s="3" t="n"/>
      <c r="AS132" s="3" t="n"/>
    </row>
    <row r="133" ht="20" customHeight="1">
      <c r="A133" s="2" t="n"/>
      <c r="B133" s="2" t="n"/>
      <c r="C133" s="2" t="n"/>
      <c r="D133" s="2" t="n"/>
      <c r="E133" s="56" t="str">
        <f>IF(A133="","",IF(OR(AJ133="EXCLUDE",COUNTIF(AD133:AH133,"LOW")&gt;0),"EXCLUDE",IF(OR(AJ133&lt;&gt;"INCLUDE",F133&lt;&gt;"SUCCESS",D133&lt;&gt;"STORED",U133="",AP133="",AQ133="",AQ133="UNVERIFIED",AND(AP133="OFFICIAL_WEBSITE",Q133=""),AND(OR(AA133="Equipment manual / OEM instruction",AB133="Asset-specific normative"),OR(Z133&lt;&gt;"Manufacturer / supplier",AS133="",AC133=""))),"PENDING",IF(COUNTIF(AD133:AH133,"HIGH")=5,"INCLUDE","PENDING"))))</f>
        <v/>
      </c>
      <c r="F133" s="2" t="n"/>
      <c r="G133" s="81" t="n"/>
      <c r="H133" s="81" t="n"/>
      <c r="I133" s="2" t="n"/>
      <c r="J133" s="2" t="n"/>
      <c r="K133" s="73" t="str">
        <f>IF(A133="","",IF(J133="AUTO",H133,IF(J133="MANUAL",AK133,"")))</f>
        <v/>
      </c>
      <c r="L133" s="2" t="n"/>
      <c r="M133" s="2" t="n"/>
      <c r="N133" s="56" t="str">
        <f>IF(A133="","",IF(COUNTIFS('Human Operation Desktop'!$A$3:$A$502,A133,'Human Operation Desktop'!$I$3:$I$502,"&lt;&gt;APPLIED",'Human Operation Desktop'!$I$3:$I$502,"&lt;&gt;REJECTED")&gt;0,"YES","NO"))</f>
        <v/>
      </c>
      <c r="O133" s="2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76" t="n"/>
      <c r="AL133" s="3" t="n"/>
      <c r="AM133" s="3" t="n"/>
      <c r="AN133" s="3" t="n"/>
      <c r="AO133" s="3" t="n"/>
      <c r="AP133" s="3" t="n"/>
      <c r="AQ133" s="3" t="n"/>
      <c r="AR133" s="3" t="n"/>
      <c r="AS133" s="3" t="n"/>
    </row>
    <row r="134" ht="20" customHeight="1">
      <c r="A134" s="2" t="n"/>
      <c r="B134" s="2" t="n"/>
      <c r="C134" s="2" t="n"/>
      <c r="D134" s="2" t="n"/>
      <c r="E134" s="53" t="str">
        <f>IF(A134="","",IF(OR(AJ134="EXCLUDE",COUNTIF(AD134:AH134,"LOW")&gt;0),"EXCLUDE",IF(OR(AJ134&lt;&gt;"INCLUDE",F134&lt;&gt;"SUCCESS",D134&lt;&gt;"STORED",U134="",AP134="",AQ134="",AQ134="UNVERIFIED",AND(AP134="OFFICIAL_WEBSITE",Q134=""),AND(OR(AA134="Equipment manual / OEM instruction",AB134="Asset-specific normative"),OR(Z134&lt;&gt;"Manufacturer / supplier",AS134="",AC134=""))),"PENDING",IF(COUNTIF(AD134:AH134,"HIGH")=5,"INCLUDE","PENDING"))))</f>
        <v/>
      </c>
      <c r="F134" s="2" t="n"/>
      <c r="G134" s="81" t="n"/>
      <c r="H134" s="81" t="n"/>
      <c r="I134" s="2" t="n"/>
      <c r="J134" s="2" t="n"/>
      <c r="K134" s="75" t="str">
        <f>IF(A134="","",IF(J134="AUTO",H134,IF(J134="MANUAL",AK134,"")))</f>
        <v/>
      </c>
      <c r="L134" s="2" t="n"/>
      <c r="M134" s="2" t="n"/>
      <c r="N134" s="53" t="str">
        <f>IF(A134="","",IF(COUNTIFS('Human Operation Desktop'!$A$3:$A$502,A134,'Human Operation Desktop'!$I$3:$I$502,"&lt;&gt;APPLIED",'Human Operation Desktop'!$I$3:$I$502,"&lt;&gt;REJECTED")&gt;0,"YES","NO"))</f>
        <v/>
      </c>
      <c r="O134" s="2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76" t="n"/>
      <c r="AL134" s="3" t="n"/>
      <c r="AM134" s="3" t="n"/>
      <c r="AN134" s="3" t="n"/>
      <c r="AO134" s="3" t="n"/>
      <c r="AP134" s="3" t="n"/>
      <c r="AQ134" s="3" t="n"/>
      <c r="AR134" s="3" t="n"/>
      <c r="AS134" s="3" t="n"/>
    </row>
    <row r="135" ht="20" customHeight="1">
      <c r="A135" s="2" t="n"/>
      <c r="B135" s="2" t="n"/>
      <c r="C135" s="2" t="n"/>
      <c r="D135" s="2" t="n"/>
      <c r="E135" s="56" t="str">
        <f>IF(A135="","",IF(OR(AJ135="EXCLUDE",COUNTIF(AD135:AH135,"LOW")&gt;0),"EXCLUDE",IF(OR(AJ135&lt;&gt;"INCLUDE",F135&lt;&gt;"SUCCESS",D135&lt;&gt;"STORED",U135="",AP135="",AQ135="",AQ135="UNVERIFIED",AND(AP135="OFFICIAL_WEBSITE",Q135=""),AND(OR(AA135="Equipment manual / OEM instruction",AB135="Asset-specific normative"),OR(Z135&lt;&gt;"Manufacturer / supplier",AS135="",AC135=""))),"PENDING",IF(COUNTIF(AD135:AH135,"HIGH")=5,"INCLUDE","PENDING"))))</f>
        <v/>
      </c>
      <c r="F135" s="2" t="n"/>
      <c r="G135" s="81" t="n"/>
      <c r="H135" s="81" t="n"/>
      <c r="I135" s="2" t="n"/>
      <c r="J135" s="2" t="n"/>
      <c r="K135" s="73" t="str">
        <f>IF(A135="","",IF(J135="AUTO",H135,IF(J135="MANUAL",AK135,"")))</f>
        <v/>
      </c>
      <c r="L135" s="2" t="n"/>
      <c r="M135" s="2" t="n"/>
      <c r="N135" s="56" t="str">
        <f>IF(A135="","",IF(COUNTIFS('Human Operation Desktop'!$A$3:$A$502,A135,'Human Operation Desktop'!$I$3:$I$502,"&lt;&gt;APPLIED",'Human Operation Desktop'!$I$3:$I$502,"&lt;&gt;REJECTED")&gt;0,"YES","NO"))</f>
        <v/>
      </c>
      <c r="O135" s="2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76" t="n"/>
      <c r="AL135" s="3" t="n"/>
      <c r="AM135" s="3" t="n"/>
      <c r="AN135" s="3" t="n"/>
      <c r="AO135" s="3" t="n"/>
      <c r="AP135" s="3" t="n"/>
      <c r="AQ135" s="3" t="n"/>
      <c r="AR135" s="3" t="n"/>
      <c r="AS135" s="3" t="n"/>
    </row>
    <row r="136" ht="20" customHeight="1">
      <c r="A136" s="2" t="n"/>
      <c r="B136" s="2" t="n"/>
      <c r="C136" s="2" t="n"/>
      <c r="D136" s="2" t="n"/>
      <c r="E136" s="53" t="str">
        <f>IF(A136="","",IF(OR(AJ136="EXCLUDE",COUNTIF(AD136:AH136,"LOW")&gt;0),"EXCLUDE",IF(OR(AJ136&lt;&gt;"INCLUDE",F136&lt;&gt;"SUCCESS",D136&lt;&gt;"STORED",U136="",AP136="",AQ136="",AQ136="UNVERIFIED",AND(AP136="OFFICIAL_WEBSITE",Q136=""),AND(OR(AA136="Equipment manual / OEM instruction",AB136="Asset-specific normative"),OR(Z136&lt;&gt;"Manufacturer / supplier",AS136="",AC136=""))),"PENDING",IF(COUNTIF(AD136:AH136,"HIGH")=5,"INCLUDE","PENDING"))))</f>
        <v/>
      </c>
      <c r="F136" s="2" t="n"/>
      <c r="G136" s="81" t="n"/>
      <c r="H136" s="81" t="n"/>
      <c r="I136" s="2" t="n"/>
      <c r="J136" s="2" t="n"/>
      <c r="K136" s="75" t="str">
        <f>IF(A136="","",IF(J136="AUTO",H136,IF(J136="MANUAL",AK136,"")))</f>
        <v/>
      </c>
      <c r="L136" s="2" t="n"/>
      <c r="M136" s="2" t="n"/>
      <c r="N136" s="53" t="str">
        <f>IF(A136="","",IF(COUNTIFS('Human Operation Desktop'!$A$3:$A$502,A136,'Human Operation Desktop'!$I$3:$I$502,"&lt;&gt;APPLIED",'Human Operation Desktop'!$I$3:$I$502,"&lt;&gt;REJECTED")&gt;0,"YES","NO"))</f>
        <v/>
      </c>
      <c r="O136" s="2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76" t="n"/>
      <c r="AL136" s="3" t="n"/>
      <c r="AM136" s="3" t="n"/>
      <c r="AN136" s="3" t="n"/>
      <c r="AO136" s="3" t="n"/>
      <c r="AP136" s="3" t="n"/>
      <c r="AQ136" s="3" t="n"/>
      <c r="AR136" s="3" t="n"/>
      <c r="AS136" s="3" t="n"/>
    </row>
    <row r="137" ht="20" customHeight="1">
      <c r="A137" s="2" t="n"/>
      <c r="B137" s="2" t="n"/>
      <c r="C137" s="2" t="n"/>
      <c r="D137" s="2" t="n"/>
      <c r="E137" s="56" t="str">
        <f>IF(A137="","",IF(OR(AJ137="EXCLUDE",COUNTIF(AD137:AH137,"LOW")&gt;0),"EXCLUDE",IF(OR(AJ137&lt;&gt;"INCLUDE",F137&lt;&gt;"SUCCESS",D137&lt;&gt;"STORED",U137="",AP137="",AQ137="",AQ137="UNVERIFIED",AND(AP137="OFFICIAL_WEBSITE",Q137=""),AND(OR(AA137="Equipment manual / OEM instruction",AB137="Asset-specific normative"),OR(Z137&lt;&gt;"Manufacturer / supplier",AS137="",AC137=""))),"PENDING",IF(COUNTIF(AD137:AH137,"HIGH")=5,"INCLUDE","PENDING"))))</f>
        <v/>
      </c>
      <c r="F137" s="2" t="n"/>
      <c r="G137" s="81" t="n"/>
      <c r="H137" s="81" t="n"/>
      <c r="I137" s="2" t="n"/>
      <c r="J137" s="2" t="n"/>
      <c r="K137" s="73" t="str">
        <f>IF(A137="","",IF(J137="AUTO",H137,IF(J137="MANUAL",AK137,"")))</f>
        <v/>
      </c>
      <c r="L137" s="2" t="n"/>
      <c r="M137" s="2" t="n"/>
      <c r="N137" s="56" t="str">
        <f>IF(A137="","",IF(COUNTIFS('Human Operation Desktop'!$A$3:$A$502,A137,'Human Operation Desktop'!$I$3:$I$502,"&lt;&gt;APPLIED",'Human Operation Desktop'!$I$3:$I$502,"&lt;&gt;REJECTED")&gt;0,"YES","NO"))</f>
        <v/>
      </c>
      <c r="O137" s="2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76" t="n"/>
      <c r="AL137" s="3" t="n"/>
      <c r="AM137" s="3" t="n"/>
      <c r="AN137" s="3" t="n"/>
      <c r="AO137" s="3" t="n"/>
      <c r="AP137" s="3" t="n"/>
      <c r="AQ137" s="3" t="n"/>
      <c r="AR137" s="3" t="n"/>
      <c r="AS137" s="3" t="n"/>
    </row>
    <row r="138" ht="20" customHeight="1">
      <c r="A138" s="2" t="n"/>
      <c r="B138" s="2" t="n"/>
      <c r="C138" s="2" t="n"/>
      <c r="D138" s="2" t="n"/>
      <c r="E138" s="53" t="str">
        <f>IF(A138="","",IF(OR(AJ138="EXCLUDE",COUNTIF(AD138:AH138,"LOW")&gt;0),"EXCLUDE",IF(OR(AJ138&lt;&gt;"INCLUDE",F138&lt;&gt;"SUCCESS",D138&lt;&gt;"STORED",U138="",AP138="",AQ138="",AQ138="UNVERIFIED",AND(AP138="OFFICIAL_WEBSITE",Q138=""),AND(OR(AA138="Equipment manual / OEM instruction",AB138="Asset-specific normative"),OR(Z138&lt;&gt;"Manufacturer / supplier",AS138="",AC138=""))),"PENDING",IF(COUNTIF(AD138:AH138,"HIGH")=5,"INCLUDE","PENDING"))))</f>
        <v/>
      </c>
      <c r="F138" s="2" t="n"/>
      <c r="G138" s="81" t="n"/>
      <c r="H138" s="81" t="n"/>
      <c r="I138" s="2" t="n"/>
      <c r="J138" s="2" t="n"/>
      <c r="K138" s="75" t="str">
        <f>IF(A138="","",IF(J138="AUTO",H138,IF(J138="MANUAL",AK138,"")))</f>
        <v/>
      </c>
      <c r="L138" s="2" t="n"/>
      <c r="M138" s="2" t="n"/>
      <c r="N138" s="53" t="str">
        <f>IF(A138="","",IF(COUNTIFS('Human Operation Desktop'!$A$3:$A$502,A138,'Human Operation Desktop'!$I$3:$I$502,"&lt;&gt;APPLIED",'Human Operation Desktop'!$I$3:$I$502,"&lt;&gt;REJECTED")&gt;0,"YES","NO"))</f>
        <v/>
      </c>
      <c r="O138" s="2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76" t="n"/>
      <c r="AL138" s="3" t="n"/>
      <c r="AM138" s="3" t="n"/>
      <c r="AN138" s="3" t="n"/>
      <c r="AO138" s="3" t="n"/>
      <c r="AP138" s="3" t="n"/>
      <c r="AQ138" s="3" t="n"/>
      <c r="AR138" s="3" t="n"/>
      <c r="AS138" s="3" t="n"/>
    </row>
    <row r="139" ht="20" customHeight="1">
      <c r="A139" s="2" t="n"/>
      <c r="B139" s="2" t="n"/>
      <c r="C139" s="2" t="n"/>
      <c r="D139" s="2" t="n"/>
      <c r="E139" s="56" t="str">
        <f>IF(A139="","",IF(OR(AJ139="EXCLUDE",COUNTIF(AD139:AH139,"LOW")&gt;0),"EXCLUDE",IF(OR(AJ139&lt;&gt;"INCLUDE",F139&lt;&gt;"SUCCESS",D139&lt;&gt;"STORED",U139="",AP139="",AQ139="",AQ139="UNVERIFIED",AND(AP139="OFFICIAL_WEBSITE",Q139=""),AND(OR(AA139="Equipment manual / OEM instruction",AB139="Asset-specific normative"),OR(Z139&lt;&gt;"Manufacturer / supplier",AS139="",AC139=""))),"PENDING",IF(COUNTIF(AD139:AH139,"HIGH")=5,"INCLUDE","PENDING"))))</f>
        <v/>
      </c>
      <c r="F139" s="2" t="n"/>
      <c r="G139" s="81" t="n"/>
      <c r="H139" s="81" t="n"/>
      <c r="I139" s="2" t="n"/>
      <c r="J139" s="2" t="n"/>
      <c r="K139" s="73" t="str">
        <f>IF(A139="","",IF(J139="AUTO",H139,IF(J139="MANUAL",AK139,"")))</f>
        <v/>
      </c>
      <c r="L139" s="2" t="n"/>
      <c r="M139" s="2" t="n"/>
      <c r="N139" s="56" t="str">
        <f>IF(A139="","",IF(COUNTIFS('Human Operation Desktop'!$A$3:$A$502,A139,'Human Operation Desktop'!$I$3:$I$502,"&lt;&gt;APPLIED",'Human Operation Desktop'!$I$3:$I$502,"&lt;&gt;REJECTED")&gt;0,"YES","NO"))</f>
        <v/>
      </c>
      <c r="O139" s="2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76" t="n"/>
      <c r="AL139" s="3" t="n"/>
      <c r="AM139" s="3" t="n"/>
      <c r="AN139" s="3" t="n"/>
      <c r="AO139" s="3" t="n"/>
      <c r="AP139" s="3" t="n"/>
      <c r="AQ139" s="3" t="n"/>
      <c r="AR139" s="3" t="n"/>
      <c r="AS139" s="3" t="n"/>
    </row>
    <row r="140" ht="20" customHeight="1">
      <c r="A140" s="2" t="n"/>
      <c r="B140" s="2" t="n"/>
      <c r="C140" s="2" t="n"/>
      <c r="D140" s="2" t="n"/>
      <c r="E140" s="53" t="str">
        <f>IF(A140="","",IF(OR(AJ140="EXCLUDE",COUNTIF(AD140:AH140,"LOW")&gt;0),"EXCLUDE",IF(OR(AJ140&lt;&gt;"INCLUDE",F140&lt;&gt;"SUCCESS",D140&lt;&gt;"STORED",U140="",AP140="",AQ140="",AQ140="UNVERIFIED",AND(AP140="OFFICIAL_WEBSITE",Q140=""),AND(OR(AA140="Equipment manual / OEM instruction",AB140="Asset-specific normative"),OR(Z140&lt;&gt;"Manufacturer / supplier",AS140="",AC140=""))),"PENDING",IF(COUNTIF(AD140:AH140,"HIGH")=5,"INCLUDE","PENDING"))))</f>
        <v/>
      </c>
      <c r="F140" s="2" t="n"/>
      <c r="G140" s="81" t="n"/>
      <c r="H140" s="81" t="n"/>
      <c r="I140" s="2" t="n"/>
      <c r="J140" s="2" t="n"/>
      <c r="K140" s="75" t="str">
        <f>IF(A140="","",IF(J140="AUTO",H140,IF(J140="MANUAL",AK140,"")))</f>
        <v/>
      </c>
      <c r="L140" s="2" t="n"/>
      <c r="M140" s="2" t="n"/>
      <c r="N140" s="53" t="str">
        <f>IF(A140="","",IF(COUNTIFS('Human Operation Desktop'!$A$3:$A$502,A140,'Human Operation Desktop'!$I$3:$I$502,"&lt;&gt;APPLIED",'Human Operation Desktop'!$I$3:$I$502,"&lt;&gt;REJECTED")&gt;0,"YES","NO"))</f>
        <v/>
      </c>
      <c r="O140" s="2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76" t="n"/>
      <c r="AL140" s="3" t="n"/>
      <c r="AM140" s="3" t="n"/>
      <c r="AN140" s="3" t="n"/>
      <c r="AO140" s="3" t="n"/>
      <c r="AP140" s="3" t="n"/>
      <c r="AQ140" s="3" t="n"/>
      <c r="AR140" s="3" t="n"/>
      <c r="AS140" s="3" t="n"/>
    </row>
    <row r="141" ht="20" customHeight="1">
      <c r="A141" s="2" t="n"/>
      <c r="B141" s="2" t="n"/>
      <c r="C141" s="2" t="n"/>
      <c r="D141" s="2" t="n"/>
      <c r="E141" s="56" t="str">
        <f>IF(A141="","",IF(OR(AJ141="EXCLUDE",COUNTIF(AD141:AH141,"LOW")&gt;0),"EXCLUDE",IF(OR(AJ141&lt;&gt;"INCLUDE",F141&lt;&gt;"SUCCESS",D141&lt;&gt;"STORED",U141="",AP141="",AQ141="",AQ141="UNVERIFIED",AND(AP141="OFFICIAL_WEBSITE",Q141=""),AND(OR(AA141="Equipment manual / OEM instruction",AB141="Asset-specific normative"),OR(Z141&lt;&gt;"Manufacturer / supplier",AS141="",AC141=""))),"PENDING",IF(COUNTIF(AD141:AH141,"HIGH")=5,"INCLUDE","PENDING"))))</f>
        <v/>
      </c>
      <c r="F141" s="2" t="n"/>
      <c r="G141" s="81" t="n"/>
      <c r="H141" s="81" t="n"/>
      <c r="I141" s="2" t="n"/>
      <c r="J141" s="2" t="n"/>
      <c r="K141" s="73" t="str">
        <f>IF(A141="","",IF(J141="AUTO",H141,IF(J141="MANUAL",AK141,"")))</f>
        <v/>
      </c>
      <c r="L141" s="2" t="n"/>
      <c r="M141" s="2" t="n"/>
      <c r="N141" s="56" t="str">
        <f>IF(A141="","",IF(COUNTIFS('Human Operation Desktop'!$A$3:$A$502,A141,'Human Operation Desktop'!$I$3:$I$502,"&lt;&gt;APPLIED",'Human Operation Desktop'!$I$3:$I$502,"&lt;&gt;REJECTED")&gt;0,"YES","NO"))</f>
        <v/>
      </c>
      <c r="O141" s="2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76" t="n"/>
      <c r="AL141" s="3" t="n"/>
      <c r="AM141" s="3" t="n"/>
      <c r="AN141" s="3" t="n"/>
      <c r="AO141" s="3" t="n"/>
      <c r="AP141" s="3" t="n"/>
      <c r="AQ141" s="3" t="n"/>
      <c r="AR141" s="3" t="n"/>
      <c r="AS141" s="3" t="n"/>
    </row>
    <row r="142" ht="20" customHeight="1">
      <c r="A142" s="2" t="n"/>
      <c r="B142" s="2" t="n"/>
      <c r="C142" s="2" t="n"/>
      <c r="D142" s="2" t="n"/>
      <c r="E142" s="53" t="str">
        <f>IF(A142="","",IF(OR(AJ142="EXCLUDE",COUNTIF(AD142:AH142,"LOW")&gt;0),"EXCLUDE",IF(OR(AJ142&lt;&gt;"INCLUDE",F142&lt;&gt;"SUCCESS",D142&lt;&gt;"STORED",U142="",AP142="",AQ142="",AQ142="UNVERIFIED",AND(AP142="OFFICIAL_WEBSITE",Q142=""),AND(OR(AA142="Equipment manual / OEM instruction",AB142="Asset-specific normative"),OR(Z142&lt;&gt;"Manufacturer / supplier",AS142="",AC142=""))),"PENDING",IF(COUNTIF(AD142:AH142,"HIGH")=5,"INCLUDE","PENDING"))))</f>
        <v/>
      </c>
      <c r="F142" s="2" t="n"/>
      <c r="G142" s="81" t="n"/>
      <c r="H142" s="81" t="n"/>
      <c r="I142" s="2" t="n"/>
      <c r="J142" s="2" t="n"/>
      <c r="K142" s="75" t="str">
        <f>IF(A142="","",IF(J142="AUTO",H142,IF(J142="MANUAL",AK142,"")))</f>
        <v/>
      </c>
      <c r="L142" s="2" t="n"/>
      <c r="M142" s="2" t="n"/>
      <c r="N142" s="53" t="str">
        <f>IF(A142="","",IF(COUNTIFS('Human Operation Desktop'!$A$3:$A$502,A142,'Human Operation Desktop'!$I$3:$I$502,"&lt;&gt;APPLIED",'Human Operation Desktop'!$I$3:$I$502,"&lt;&gt;REJECTED")&gt;0,"YES","NO"))</f>
        <v/>
      </c>
      <c r="O142" s="2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76" t="n"/>
      <c r="AL142" s="3" t="n"/>
      <c r="AM142" s="3" t="n"/>
      <c r="AN142" s="3" t="n"/>
      <c r="AO142" s="3" t="n"/>
      <c r="AP142" s="3" t="n"/>
      <c r="AQ142" s="3" t="n"/>
      <c r="AR142" s="3" t="n"/>
      <c r="AS142" s="3" t="n"/>
    </row>
    <row r="143" ht="20" customHeight="1">
      <c r="A143" s="2" t="n"/>
      <c r="B143" s="2" t="n"/>
      <c r="C143" s="2" t="n"/>
      <c r="D143" s="2" t="n"/>
      <c r="E143" s="56" t="str">
        <f>IF(A143="","",IF(OR(AJ143="EXCLUDE",COUNTIF(AD143:AH143,"LOW")&gt;0),"EXCLUDE",IF(OR(AJ143&lt;&gt;"INCLUDE",F143&lt;&gt;"SUCCESS",D143&lt;&gt;"STORED",U143="",AP143="",AQ143="",AQ143="UNVERIFIED",AND(AP143="OFFICIAL_WEBSITE",Q143=""),AND(OR(AA143="Equipment manual / OEM instruction",AB143="Asset-specific normative"),OR(Z143&lt;&gt;"Manufacturer / supplier",AS143="",AC143=""))),"PENDING",IF(COUNTIF(AD143:AH143,"HIGH")=5,"INCLUDE","PENDING"))))</f>
        <v/>
      </c>
      <c r="F143" s="2" t="n"/>
      <c r="G143" s="81" t="n"/>
      <c r="H143" s="81" t="n"/>
      <c r="I143" s="2" t="n"/>
      <c r="J143" s="2" t="n"/>
      <c r="K143" s="73" t="str">
        <f>IF(A143="","",IF(J143="AUTO",H143,IF(J143="MANUAL",AK143,"")))</f>
        <v/>
      </c>
      <c r="L143" s="2" t="n"/>
      <c r="M143" s="2" t="n"/>
      <c r="N143" s="56" t="str">
        <f>IF(A143="","",IF(COUNTIFS('Human Operation Desktop'!$A$3:$A$502,A143,'Human Operation Desktop'!$I$3:$I$502,"&lt;&gt;APPLIED",'Human Operation Desktop'!$I$3:$I$502,"&lt;&gt;REJECTED")&gt;0,"YES","NO"))</f>
        <v/>
      </c>
      <c r="O143" s="2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76" t="n"/>
      <c r="AL143" s="3" t="n"/>
      <c r="AM143" s="3" t="n"/>
      <c r="AN143" s="3" t="n"/>
      <c r="AO143" s="3" t="n"/>
      <c r="AP143" s="3" t="n"/>
      <c r="AQ143" s="3" t="n"/>
      <c r="AR143" s="3" t="n"/>
      <c r="AS143" s="3" t="n"/>
    </row>
    <row r="144" ht="20" customHeight="1">
      <c r="A144" s="2" t="n"/>
      <c r="B144" s="2" t="n"/>
      <c r="C144" s="2" t="n"/>
      <c r="D144" s="2" t="n"/>
      <c r="E144" s="53" t="str">
        <f>IF(A144="","",IF(OR(AJ144="EXCLUDE",COUNTIF(AD144:AH144,"LOW")&gt;0),"EXCLUDE",IF(OR(AJ144&lt;&gt;"INCLUDE",F144&lt;&gt;"SUCCESS",D144&lt;&gt;"STORED",U144="",AP144="",AQ144="",AQ144="UNVERIFIED",AND(AP144="OFFICIAL_WEBSITE",Q144=""),AND(OR(AA144="Equipment manual / OEM instruction",AB144="Asset-specific normative"),OR(Z144&lt;&gt;"Manufacturer / supplier",AS144="",AC144=""))),"PENDING",IF(COUNTIF(AD144:AH144,"HIGH")=5,"INCLUDE","PENDING"))))</f>
        <v/>
      </c>
      <c r="F144" s="2" t="n"/>
      <c r="G144" s="81" t="n"/>
      <c r="H144" s="81" t="n"/>
      <c r="I144" s="2" t="n"/>
      <c r="J144" s="2" t="n"/>
      <c r="K144" s="75" t="str">
        <f>IF(A144="","",IF(J144="AUTO",H144,IF(J144="MANUAL",AK144,"")))</f>
        <v/>
      </c>
      <c r="L144" s="2" t="n"/>
      <c r="M144" s="2" t="n"/>
      <c r="N144" s="53" t="str">
        <f>IF(A144="","",IF(COUNTIFS('Human Operation Desktop'!$A$3:$A$502,A144,'Human Operation Desktop'!$I$3:$I$502,"&lt;&gt;APPLIED",'Human Operation Desktop'!$I$3:$I$502,"&lt;&gt;REJECTED")&gt;0,"YES","NO"))</f>
        <v/>
      </c>
      <c r="O144" s="2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76" t="n"/>
      <c r="AL144" s="3" t="n"/>
      <c r="AM144" s="3" t="n"/>
      <c r="AN144" s="3" t="n"/>
      <c r="AO144" s="3" t="n"/>
      <c r="AP144" s="3" t="n"/>
      <c r="AQ144" s="3" t="n"/>
      <c r="AR144" s="3" t="n"/>
      <c r="AS144" s="3" t="n"/>
    </row>
    <row r="145" ht="20" customHeight="1">
      <c r="A145" s="2" t="n"/>
      <c r="B145" s="2" t="n"/>
      <c r="C145" s="2" t="n"/>
      <c r="D145" s="2" t="n"/>
      <c r="E145" s="56" t="str">
        <f>IF(A145="","",IF(OR(AJ145="EXCLUDE",COUNTIF(AD145:AH145,"LOW")&gt;0),"EXCLUDE",IF(OR(AJ145&lt;&gt;"INCLUDE",F145&lt;&gt;"SUCCESS",D145&lt;&gt;"STORED",U145="",AP145="",AQ145="",AQ145="UNVERIFIED",AND(AP145="OFFICIAL_WEBSITE",Q145=""),AND(OR(AA145="Equipment manual / OEM instruction",AB145="Asset-specific normative"),OR(Z145&lt;&gt;"Manufacturer / supplier",AS145="",AC145=""))),"PENDING",IF(COUNTIF(AD145:AH145,"HIGH")=5,"INCLUDE","PENDING"))))</f>
        <v/>
      </c>
      <c r="F145" s="2" t="n"/>
      <c r="G145" s="81" t="n"/>
      <c r="H145" s="81" t="n"/>
      <c r="I145" s="2" t="n"/>
      <c r="J145" s="2" t="n"/>
      <c r="K145" s="73" t="str">
        <f>IF(A145="","",IF(J145="AUTO",H145,IF(J145="MANUAL",AK145,"")))</f>
        <v/>
      </c>
      <c r="L145" s="2" t="n"/>
      <c r="M145" s="2" t="n"/>
      <c r="N145" s="56" t="str">
        <f>IF(A145="","",IF(COUNTIFS('Human Operation Desktop'!$A$3:$A$502,A145,'Human Operation Desktop'!$I$3:$I$502,"&lt;&gt;APPLIED",'Human Operation Desktop'!$I$3:$I$502,"&lt;&gt;REJECTED")&gt;0,"YES","NO"))</f>
        <v/>
      </c>
      <c r="O145" s="2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76" t="n"/>
      <c r="AL145" s="3" t="n"/>
      <c r="AM145" s="3" t="n"/>
      <c r="AN145" s="3" t="n"/>
      <c r="AO145" s="3" t="n"/>
      <c r="AP145" s="3" t="n"/>
      <c r="AQ145" s="3" t="n"/>
      <c r="AR145" s="3" t="n"/>
      <c r="AS145" s="3" t="n"/>
    </row>
    <row r="146" ht="20" customHeight="1">
      <c r="A146" s="2" t="n"/>
      <c r="B146" s="2" t="n"/>
      <c r="C146" s="2" t="n"/>
      <c r="D146" s="2" t="n"/>
      <c r="E146" s="53" t="str">
        <f>IF(A146="","",IF(OR(AJ146="EXCLUDE",COUNTIF(AD146:AH146,"LOW")&gt;0),"EXCLUDE",IF(OR(AJ146&lt;&gt;"INCLUDE",F146&lt;&gt;"SUCCESS",D146&lt;&gt;"STORED",U146="",AP146="",AQ146="",AQ146="UNVERIFIED",AND(AP146="OFFICIAL_WEBSITE",Q146=""),AND(OR(AA146="Equipment manual / OEM instruction",AB146="Asset-specific normative"),OR(Z146&lt;&gt;"Manufacturer / supplier",AS146="",AC146=""))),"PENDING",IF(COUNTIF(AD146:AH146,"HIGH")=5,"INCLUDE","PENDING"))))</f>
        <v/>
      </c>
      <c r="F146" s="2" t="n"/>
      <c r="G146" s="81" t="n"/>
      <c r="H146" s="81" t="n"/>
      <c r="I146" s="2" t="n"/>
      <c r="J146" s="2" t="n"/>
      <c r="K146" s="75" t="str">
        <f>IF(A146="","",IF(J146="AUTO",H146,IF(J146="MANUAL",AK146,"")))</f>
        <v/>
      </c>
      <c r="L146" s="2" t="n"/>
      <c r="M146" s="2" t="n"/>
      <c r="N146" s="53" t="str">
        <f>IF(A146="","",IF(COUNTIFS('Human Operation Desktop'!$A$3:$A$502,A146,'Human Operation Desktop'!$I$3:$I$502,"&lt;&gt;APPLIED",'Human Operation Desktop'!$I$3:$I$502,"&lt;&gt;REJECTED")&gt;0,"YES","NO"))</f>
        <v/>
      </c>
      <c r="O146" s="2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76" t="n"/>
      <c r="AL146" s="3" t="n"/>
      <c r="AM146" s="3" t="n"/>
      <c r="AN146" s="3" t="n"/>
      <c r="AO146" s="3" t="n"/>
      <c r="AP146" s="3" t="n"/>
      <c r="AQ146" s="3" t="n"/>
      <c r="AR146" s="3" t="n"/>
      <c r="AS146" s="3" t="n"/>
    </row>
    <row r="147" ht="20" customHeight="1">
      <c r="A147" s="2" t="n"/>
      <c r="B147" s="2" t="n"/>
      <c r="C147" s="2" t="n"/>
      <c r="D147" s="2" t="n"/>
      <c r="E147" s="56" t="str">
        <f>IF(A147="","",IF(OR(AJ147="EXCLUDE",COUNTIF(AD147:AH147,"LOW")&gt;0),"EXCLUDE",IF(OR(AJ147&lt;&gt;"INCLUDE",F147&lt;&gt;"SUCCESS",D147&lt;&gt;"STORED",U147="",AP147="",AQ147="",AQ147="UNVERIFIED",AND(AP147="OFFICIAL_WEBSITE",Q147=""),AND(OR(AA147="Equipment manual / OEM instruction",AB147="Asset-specific normative"),OR(Z147&lt;&gt;"Manufacturer / supplier",AS147="",AC147=""))),"PENDING",IF(COUNTIF(AD147:AH147,"HIGH")=5,"INCLUDE","PENDING"))))</f>
        <v/>
      </c>
      <c r="F147" s="2" t="n"/>
      <c r="G147" s="81" t="n"/>
      <c r="H147" s="81" t="n"/>
      <c r="I147" s="2" t="n"/>
      <c r="J147" s="2" t="n"/>
      <c r="K147" s="73" t="str">
        <f>IF(A147="","",IF(J147="AUTO",H147,IF(J147="MANUAL",AK147,"")))</f>
        <v/>
      </c>
      <c r="L147" s="2" t="n"/>
      <c r="M147" s="2" t="n"/>
      <c r="N147" s="56" t="str">
        <f>IF(A147="","",IF(COUNTIFS('Human Operation Desktop'!$A$3:$A$502,A147,'Human Operation Desktop'!$I$3:$I$502,"&lt;&gt;APPLIED",'Human Operation Desktop'!$I$3:$I$502,"&lt;&gt;REJECTED")&gt;0,"YES","NO"))</f>
        <v/>
      </c>
      <c r="O147" s="2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76" t="n"/>
      <c r="AL147" s="3" t="n"/>
      <c r="AM147" s="3" t="n"/>
      <c r="AN147" s="3" t="n"/>
      <c r="AO147" s="3" t="n"/>
      <c r="AP147" s="3" t="n"/>
      <c r="AQ147" s="3" t="n"/>
      <c r="AR147" s="3" t="n"/>
      <c r="AS147" s="3" t="n"/>
    </row>
    <row r="148" ht="20" customHeight="1">
      <c r="A148" s="2" t="n"/>
      <c r="B148" s="2" t="n"/>
      <c r="C148" s="2" t="n"/>
      <c r="D148" s="2" t="n"/>
      <c r="E148" s="53" t="str">
        <f>IF(A148="","",IF(OR(AJ148="EXCLUDE",COUNTIF(AD148:AH148,"LOW")&gt;0),"EXCLUDE",IF(OR(AJ148&lt;&gt;"INCLUDE",F148&lt;&gt;"SUCCESS",D148&lt;&gt;"STORED",U148="",AP148="",AQ148="",AQ148="UNVERIFIED",AND(AP148="OFFICIAL_WEBSITE",Q148=""),AND(OR(AA148="Equipment manual / OEM instruction",AB148="Asset-specific normative"),OR(Z148&lt;&gt;"Manufacturer / supplier",AS148="",AC148=""))),"PENDING",IF(COUNTIF(AD148:AH148,"HIGH")=5,"INCLUDE","PENDING"))))</f>
        <v/>
      </c>
      <c r="F148" s="2" t="n"/>
      <c r="G148" s="81" t="n"/>
      <c r="H148" s="81" t="n"/>
      <c r="I148" s="2" t="n"/>
      <c r="J148" s="2" t="n"/>
      <c r="K148" s="75" t="str">
        <f>IF(A148="","",IF(J148="AUTO",H148,IF(J148="MANUAL",AK148,"")))</f>
        <v/>
      </c>
      <c r="L148" s="2" t="n"/>
      <c r="M148" s="2" t="n"/>
      <c r="N148" s="53" t="str">
        <f>IF(A148="","",IF(COUNTIFS('Human Operation Desktop'!$A$3:$A$502,A148,'Human Operation Desktop'!$I$3:$I$502,"&lt;&gt;APPLIED",'Human Operation Desktop'!$I$3:$I$502,"&lt;&gt;REJECTED")&gt;0,"YES","NO"))</f>
        <v/>
      </c>
      <c r="O148" s="2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76" t="n"/>
      <c r="AL148" s="3" t="n"/>
      <c r="AM148" s="3" t="n"/>
      <c r="AN148" s="3" t="n"/>
      <c r="AO148" s="3" t="n"/>
      <c r="AP148" s="3" t="n"/>
      <c r="AQ148" s="3" t="n"/>
      <c r="AR148" s="3" t="n"/>
      <c r="AS148" s="3" t="n"/>
    </row>
    <row r="149" ht="20" customHeight="1">
      <c r="A149" s="2" t="n"/>
      <c r="B149" s="2" t="n"/>
      <c r="C149" s="2" t="n"/>
      <c r="D149" s="2" t="n"/>
      <c r="E149" s="56" t="str">
        <f>IF(A149="","",IF(OR(AJ149="EXCLUDE",COUNTIF(AD149:AH149,"LOW")&gt;0),"EXCLUDE",IF(OR(AJ149&lt;&gt;"INCLUDE",F149&lt;&gt;"SUCCESS",D149&lt;&gt;"STORED",U149="",AP149="",AQ149="",AQ149="UNVERIFIED",AND(AP149="OFFICIAL_WEBSITE",Q149=""),AND(OR(AA149="Equipment manual / OEM instruction",AB149="Asset-specific normative"),OR(Z149&lt;&gt;"Manufacturer / supplier",AS149="",AC149=""))),"PENDING",IF(COUNTIF(AD149:AH149,"HIGH")=5,"INCLUDE","PENDING"))))</f>
        <v/>
      </c>
      <c r="F149" s="2" t="n"/>
      <c r="G149" s="81" t="n"/>
      <c r="H149" s="81" t="n"/>
      <c r="I149" s="2" t="n"/>
      <c r="J149" s="2" t="n"/>
      <c r="K149" s="73" t="str">
        <f>IF(A149="","",IF(J149="AUTO",H149,IF(J149="MANUAL",AK149,"")))</f>
        <v/>
      </c>
      <c r="L149" s="2" t="n"/>
      <c r="M149" s="2" t="n"/>
      <c r="N149" s="56" t="str">
        <f>IF(A149="","",IF(COUNTIFS('Human Operation Desktop'!$A$3:$A$502,A149,'Human Operation Desktop'!$I$3:$I$502,"&lt;&gt;APPLIED",'Human Operation Desktop'!$I$3:$I$502,"&lt;&gt;REJECTED")&gt;0,"YES","NO"))</f>
        <v/>
      </c>
      <c r="O149" s="2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76" t="n"/>
      <c r="AL149" s="3" t="n"/>
      <c r="AM149" s="3" t="n"/>
      <c r="AN149" s="3" t="n"/>
      <c r="AO149" s="3" t="n"/>
      <c r="AP149" s="3" t="n"/>
      <c r="AQ149" s="3" t="n"/>
      <c r="AR149" s="3" t="n"/>
      <c r="AS149" s="3" t="n"/>
    </row>
    <row r="150" ht="20" customHeight="1">
      <c r="A150" s="2" t="n"/>
      <c r="B150" s="2" t="n"/>
      <c r="C150" s="2" t="n"/>
      <c r="D150" s="2" t="n"/>
      <c r="E150" s="53" t="str">
        <f>IF(A150="","",IF(OR(AJ150="EXCLUDE",COUNTIF(AD150:AH150,"LOW")&gt;0),"EXCLUDE",IF(OR(AJ150&lt;&gt;"INCLUDE",F150&lt;&gt;"SUCCESS",D150&lt;&gt;"STORED",U150="",AP150="",AQ150="",AQ150="UNVERIFIED",AND(AP150="OFFICIAL_WEBSITE",Q150=""),AND(OR(AA150="Equipment manual / OEM instruction",AB150="Asset-specific normative"),OR(Z150&lt;&gt;"Manufacturer / supplier",AS150="",AC150=""))),"PENDING",IF(COUNTIF(AD150:AH150,"HIGH")=5,"INCLUDE","PENDING"))))</f>
        <v/>
      </c>
      <c r="F150" s="2" t="n"/>
      <c r="G150" s="81" t="n"/>
      <c r="H150" s="81" t="n"/>
      <c r="I150" s="2" t="n"/>
      <c r="J150" s="2" t="n"/>
      <c r="K150" s="75" t="str">
        <f>IF(A150="","",IF(J150="AUTO",H150,IF(J150="MANUAL",AK150,"")))</f>
        <v/>
      </c>
      <c r="L150" s="2" t="n"/>
      <c r="M150" s="2" t="n"/>
      <c r="N150" s="53" t="str">
        <f>IF(A150="","",IF(COUNTIFS('Human Operation Desktop'!$A$3:$A$502,A150,'Human Operation Desktop'!$I$3:$I$502,"&lt;&gt;APPLIED",'Human Operation Desktop'!$I$3:$I$502,"&lt;&gt;REJECTED")&gt;0,"YES","NO"))</f>
        <v/>
      </c>
      <c r="O150" s="2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76" t="n"/>
      <c r="AL150" s="3" t="n"/>
      <c r="AM150" s="3" t="n"/>
      <c r="AN150" s="3" t="n"/>
      <c r="AO150" s="3" t="n"/>
      <c r="AP150" s="3" t="n"/>
      <c r="AQ150" s="3" t="n"/>
      <c r="AR150" s="3" t="n"/>
      <c r="AS150" s="3" t="n"/>
    </row>
    <row r="151" ht="20" customHeight="1">
      <c r="A151" s="2" t="n"/>
      <c r="B151" s="2" t="n"/>
      <c r="C151" s="2" t="n"/>
      <c r="D151" s="2" t="n"/>
      <c r="E151" s="56" t="str">
        <f>IF(A151="","",IF(OR(AJ151="EXCLUDE",COUNTIF(AD151:AH151,"LOW")&gt;0),"EXCLUDE",IF(OR(AJ151&lt;&gt;"INCLUDE",F151&lt;&gt;"SUCCESS",D151&lt;&gt;"STORED",U151="",AP151="",AQ151="",AQ151="UNVERIFIED",AND(AP151="OFFICIAL_WEBSITE",Q151=""),AND(OR(AA151="Equipment manual / OEM instruction",AB151="Asset-specific normative"),OR(Z151&lt;&gt;"Manufacturer / supplier",AS151="",AC151=""))),"PENDING",IF(COUNTIF(AD151:AH151,"HIGH")=5,"INCLUDE","PENDING"))))</f>
        <v/>
      </c>
      <c r="F151" s="2" t="n"/>
      <c r="G151" s="81" t="n"/>
      <c r="H151" s="81" t="n"/>
      <c r="I151" s="2" t="n"/>
      <c r="J151" s="2" t="n"/>
      <c r="K151" s="73" t="str">
        <f>IF(A151="","",IF(J151="AUTO",H151,IF(J151="MANUAL",AK151,"")))</f>
        <v/>
      </c>
      <c r="L151" s="2" t="n"/>
      <c r="M151" s="2" t="n"/>
      <c r="N151" s="56" t="str">
        <f>IF(A151="","",IF(COUNTIFS('Human Operation Desktop'!$A$3:$A$502,A151,'Human Operation Desktop'!$I$3:$I$502,"&lt;&gt;APPLIED",'Human Operation Desktop'!$I$3:$I$502,"&lt;&gt;REJECTED")&gt;0,"YES","NO"))</f>
        <v/>
      </c>
      <c r="O151" s="2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76" t="n"/>
      <c r="AL151" s="3" t="n"/>
      <c r="AM151" s="3" t="n"/>
      <c r="AN151" s="3" t="n"/>
      <c r="AO151" s="3" t="n"/>
      <c r="AP151" s="3" t="n"/>
      <c r="AQ151" s="3" t="n"/>
      <c r="AR151" s="3" t="n"/>
      <c r="AS151" s="3" t="n"/>
    </row>
    <row r="152" ht="20" customHeight="1">
      <c r="A152" s="2" t="n"/>
      <c r="B152" s="2" t="n"/>
      <c r="C152" s="2" t="n"/>
      <c r="D152" s="2" t="n"/>
      <c r="E152" s="53" t="str">
        <f>IF(A152="","",IF(OR(AJ152="EXCLUDE",COUNTIF(AD152:AH152,"LOW")&gt;0),"EXCLUDE",IF(OR(AJ152&lt;&gt;"INCLUDE",F152&lt;&gt;"SUCCESS",D152&lt;&gt;"STORED",U152="",AP152="",AQ152="",AQ152="UNVERIFIED",AND(AP152="OFFICIAL_WEBSITE",Q152=""),AND(OR(AA152="Equipment manual / OEM instruction",AB152="Asset-specific normative"),OR(Z152&lt;&gt;"Manufacturer / supplier",AS152="",AC152=""))),"PENDING",IF(COUNTIF(AD152:AH152,"HIGH")=5,"INCLUDE","PENDING"))))</f>
        <v/>
      </c>
      <c r="F152" s="2" t="n"/>
      <c r="G152" s="81" t="n"/>
      <c r="H152" s="81" t="n"/>
      <c r="I152" s="2" t="n"/>
      <c r="J152" s="2" t="n"/>
      <c r="K152" s="75" t="str">
        <f>IF(A152="","",IF(J152="AUTO",H152,IF(J152="MANUAL",AK152,"")))</f>
        <v/>
      </c>
      <c r="L152" s="2" t="n"/>
      <c r="M152" s="2" t="n"/>
      <c r="N152" s="53" t="str">
        <f>IF(A152="","",IF(COUNTIFS('Human Operation Desktop'!$A$3:$A$502,A152,'Human Operation Desktop'!$I$3:$I$502,"&lt;&gt;APPLIED",'Human Operation Desktop'!$I$3:$I$502,"&lt;&gt;REJECTED")&gt;0,"YES","NO"))</f>
        <v/>
      </c>
      <c r="O152" s="2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76" t="n"/>
      <c r="AL152" s="3" t="n"/>
      <c r="AM152" s="3" t="n"/>
      <c r="AN152" s="3" t="n"/>
      <c r="AO152" s="3" t="n"/>
      <c r="AP152" s="3" t="n"/>
      <c r="AQ152" s="3" t="n"/>
      <c r="AR152" s="3" t="n"/>
      <c r="AS152" s="3" t="n"/>
    </row>
    <row r="153" ht="20" customHeight="1">
      <c r="A153" s="2" t="n"/>
      <c r="B153" s="2" t="n"/>
      <c r="C153" s="2" t="n"/>
      <c r="D153" s="2" t="n"/>
      <c r="E153" s="56" t="str">
        <f>IF(A153="","",IF(OR(AJ153="EXCLUDE",COUNTIF(AD153:AH153,"LOW")&gt;0),"EXCLUDE",IF(OR(AJ153&lt;&gt;"INCLUDE",F153&lt;&gt;"SUCCESS",D153&lt;&gt;"STORED",U153="",AP153="",AQ153="",AQ153="UNVERIFIED",AND(AP153="OFFICIAL_WEBSITE",Q153=""),AND(OR(AA153="Equipment manual / OEM instruction",AB153="Asset-specific normative"),OR(Z153&lt;&gt;"Manufacturer / supplier",AS153="",AC153=""))),"PENDING",IF(COUNTIF(AD153:AH153,"HIGH")=5,"INCLUDE","PENDING"))))</f>
        <v/>
      </c>
      <c r="F153" s="2" t="n"/>
      <c r="G153" s="81" t="n"/>
      <c r="H153" s="81" t="n"/>
      <c r="I153" s="2" t="n"/>
      <c r="J153" s="2" t="n"/>
      <c r="K153" s="73" t="str">
        <f>IF(A153="","",IF(J153="AUTO",H153,IF(J153="MANUAL",AK153,"")))</f>
        <v/>
      </c>
      <c r="L153" s="2" t="n"/>
      <c r="M153" s="2" t="n"/>
      <c r="N153" s="56" t="str">
        <f>IF(A153="","",IF(COUNTIFS('Human Operation Desktop'!$A$3:$A$502,A153,'Human Operation Desktop'!$I$3:$I$502,"&lt;&gt;APPLIED",'Human Operation Desktop'!$I$3:$I$502,"&lt;&gt;REJECTED")&gt;0,"YES","NO"))</f>
        <v/>
      </c>
      <c r="O153" s="2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76" t="n"/>
      <c r="AL153" s="3" t="n"/>
      <c r="AM153" s="3" t="n"/>
      <c r="AN153" s="3" t="n"/>
      <c r="AO153" s="3" t="n"/>
      <c r="AP153" s="3" t="n"/>
      <c r="AQ153" s="3" t="n"/>
      <c r="AR153" s="3" t="n"/>
      <c r="AS153" s="3" t="n"/>
    </row>
    <row r="154" ht="20" customHeight="1">
      <c r="A154" s="2" t="n"/>
      <c r="B154" s="2" t="n"/>
      <c r="C154" s="2" t="n"/>
      <c r="D154" s="2" t="n"/>
      <c r="E154" s="53" t="str">
        <f>IF(A154="","",IF(OR(AJ154="EXCLUDE",COUNTIF(AD154:AH154,"LOW")&gt;0),"EXCLUDE",IF(OR(AJ154&lt;&gt;"INCLUDE",F154&lt;&gt;"SUCCESS",D154&lt;&gt;"STORED",U154="",AP154="",AQ154="",AQ154="UNVERIFIED",AND(AP154="OFFICIAL_WEBSITE",Q154=""),AND(OR(AA154="Equipment manual / OEM instruction",AB154="Asset-specific normative"),OR(Z154&lt;&gt;"Manufacturer / supplier",AS154="",AC154=""))),"PENDING",IF(COUNTIF(AD154:AH154,"HIGH")=5,"INCLUDE","PENDING"))))</f>
        <v/>
      </c>
      <c r="F154" s="2" t="n"/>
      <c r="G154" s="81" t="n"/>
      <c r="H154" s="81" t="n"/>
      <c r="I154" s="2" t="n"/>
      <c r="J154" s="2" t="n"/>
      <c r="K154" s="75" t="str">
        <f>IF(A154="","",IF(J154="AUTO",H154,IF(J154="MANUAL",AK154,"")))</f>
        <v/>
      </c>
      <c r="L154" s="2" t="n"/>
      <c r="M154" s="2" t="n"/>
      <c r="N154" s="53" t="str">
        <f>IF(A154="","",IF(COUNTIFS('Human Operation Desktop'!$A$3:$A$502,A154,'Human Operation Desktop'!$I$3:$I$502,"&lt;&gt;APPLIED",'Human Operation Desktop'!$I$3:$I$502,"&lt;&gt;REJECTED")&gt;0,"YES","NO"))</f>
        <v/>
      </c>
      <c r="O154" s="2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76" t="n"/>
      <c r="AL154" s="3" t="n"/>
      <c r="AM154" s="3" t="n"/>
      <c r="AN154" s="3" t="n"/>
      <c r="AO154" s="3" t="n"/>
      <c r="AP154" s="3" t="n"/>
      <c r="AQ154" s="3" t="n"/>
      <c r="AR154" s="3" t="n"/>
      <c r="AS154" s="3" t="n"/>
    </row>
    <row r="155" ht="20" customHeight="1">
      <c r="A155" s="2" t="n"/>
      <c r="B155" s="2" t="n"/>
      <c r="C155" s="2" t="n"/>
      <c r="D155" s="2" t="n"/>
      <c r="E155" s="56" t="str">
        <f>IF(A155="","",IF(OR(AJ155="EXCLUDE",COUNTIF(AD155:AH155,"LOW")&gt;0),"EXCLUDE",IF(OR(AJ155&lt;&gt;"INCLUDE",F155&lt;&gt;"SUCCESS",D155&lt;&gt;"STORED",U155="",AP155="",AQ155="",AQ155="UNVERIFIED",AND(AP155="OFFICIAL_WEBSITE",Q155=""),AND(OR(AA155="Equipment manual / OEM instruction",AB155="Asset-specific normative"),OR(Z155&lt;&gt;"Manufacturer / supplier",AS155="",AC155=""))),"PENDING",IF(COUNTIF(AD155:AH155,"HIGH")=5,"INCLUDE","PENDING"))))</f>
        <v/>
      </c>
      <c r="F155" s="2" t="n"/>
      <c r="G155" s="81" t="n"/>
      <c r="H155" s="81" t="n"/>
      <c r="I155" s="2" t="n"/>
      <c r="J155" s="2" t="n"/>
      <c r="K155" s="73" t="str">
        <f>IF(A155="","",IF(J155="AUTO",H155,IF(J155="MANUAL",AK155,"")))</f>
        <v/>
      </c>
      <c r="L155" s="2" t="n"/>
      <c r="M155" s="2" t="n"/>
      <c r="N155" s="56" t="str">
        <f>IF(A155="","",IF(COUNTIFS('Human Operation Desktop'!$A$3:$A$502,A155,'Human Operation Desktop'!$I$3:$I$502,"&lt;&gt;APPLIED",'Human Operation Desktop'!$I$3:$I$502,"&lt;&gt;REJECTED")&gt;0,"YES","NO"))</f>
        <v/>
      </c>
      <c r="O155" s="2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76" t="n"/>
      <c r="AL155" s="3" t="n"/>
      <c r="AM155" s="3" t="n"/>
      <c r="AN155" s="3" t="n"/>
      <c r="AO155" s="3" t="n"/>
      <c r="AP155" s="3" t="n"/>
      <c r="AQ155" s="3" t="n"/>
      <c r="AR155" s="3" t="n"/>
      <c r="AS155" s="3" t="n"/>
    </row>
    <row r="156" ht="20" customHeight="1">
      <c r="A156" s="2" t="n"/>
      <c r="B156" s="2" t="n"/>
      <c r="C156" s="2" t="n"/>
      <c r="D156" s="2" t="n"/>
      <c r="E156" s="53" t="str">
        <f>IF(A156="","",IF(OR(AJ156="EXCLUDE",COUNTIF(AD156:AH156,"LOW")&gt;0),"EXCLUDE",IF(OR(AJ156&lt;&gt;"INCLUDE",F156&lt;&gt;"SUCCESS",D156&lt;&gt;"STORED",U156="",AP156="",AQ156="",AQ156="UNVERIFIED",AND(AP156="OFFICIAL_WEBSITE",Q156=""),AND(OR(AA156="Equipment manual / OEM instruction",AB156="Asset-specific normative"),OR(Z156&lt;&gt;"Manufacturer / supplier",AS156="",AC156=""))),"PENDING",IF(COUNTIF(AD156:AH156,"HIGH")=5,"INCLUDE","PENDING"))))</f>
        <v/>
      </c>
      <c r="F156" s="2" t="n"/>
      <c r="G156" s="81" t="n"/>
      <c r="H156" s="81" t="n"/>
      <c r="I156" s="2" t="n"/>
      <c r="J156" s="2" t="n"/>
      <c r="K156" s="75" t="str">
        <f>IF(A156="","",IF(J156="AUTO",H156,IF(J156="MANUAL",AK156,"")))</f>
        <v/>
      </c>
      <c r="L156" s="2" t="n"/>
      <c r="M156" s="2" t="n"/>
      <c r="N156" s="53" t="str">
        <f>IF(A156="","",IF(COUNTIFS('Human Operation Desktop'!$A$3:$A$502,A156,'Human Operation Desktop'!$I$3:$I$502,"&lt;&gt;APPLIED",'Human Operation Desktop'!$I$3:$I$502,"&lt;&gt;REJECTED")&gt;0,"YES","NO"))</f>
        <v/>
      </c>
      <c r="O156" s="2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76" t="n"/>
      <c r="AL156" s="3" t="n"/>
      <c r="AM156" s="3" t="n"/>
      <c r="AN156" s="3" t="n"/>
      <c r="AO156" s="3" t="n"/>
      <c r="AP156" s="3" t="n"/>
      <c r="AQ156" s="3" t="n"/>
      <c r="AR156" s="3" t="n"/>
      <c r="AS156" s="3" t="n"/>
    </row>
    <row r="157" ht="20" customHeight="1">
      <c r="A157" s="2" t="n"/>
      <c r="B157" s="2" t="n"/>
      <c r="C157" s="2" t="n"/>
      <c r="D157" s="2" t="n"/>
      <c r="E157" s="56" t="str">
        <f>IF(A157="","",IF(OR(AJ157="EXCLUDE",COUNTIF(AD157:AH157,"LOW")&gt;0),"EXCLUDE",IF(OR(AJ157&lt;&gt;"INCLUDE",F157&lt;&gt;"SUCCESS",D157&lt;&gt;"STORED",U157="",AP157="",AQ157="",AQ157="UNVERIFIED",AND(AP157="OFFICIAL_WEBSITE",Q157=""),AND(OR(AA157="Equipment manual / OEM instruction",AB157="Asset-specific normative"),OR(Z157&lt;&gt;"Manufacturer / supplier",AS157="",AC157=""))),"PENDING",IF(COUNTIF(AD157:AH157,"HIGH")=5,"INCLUDE","PENDING"))))</f>
        <v/>
      </c>
      <c r="F157" s="2" t="n"/>
      <c r="G157" s="81" t="n"/>
      <c r="H157" s="81" t="n"/>
      <c r="I157" s="2" t="n"/>
      <c r="J157" s="2" t="n"/>
      <c r="K157" s="73" t="str">
        <f>IF(A157="","",IF(J157="AUTO",H157,IF(J157="MANUAL",AK157,"")))</f>
        <v/>
      </c>
      <c r="L157" s="2" t="n"/>
      <c r="M157" s="2" t="n"/>
      <c r="N157" s="56" t="str">
        <f>IF(A157="","",IF(COUNTIFS('Human Operation Desktop'!$A$3:$A$502,A157,'Human Operation Desktop'!$I$3:$I$502,"&lt;&gt;APPLIED",'Human Operation Desktop'!$I$3:$I$502,"&lt;&gt;REJECTED")&gt;0,"YES","NO"))</f>
        <v/>
      </c>
      <c r="O157" s="2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76" t="n"/>
      <c r="AL157" s="3" t="n"/>
      <c r="AM157" s="3" t="n"/>
      <c r="AN157" s="3" t="n"/>
      <c r="AO157" s="3" t="n"/>
      <c r="AP157" s="3" t="n"/>
      <c r="AQ157" s="3" t="n"/>
      <c r="AR157" s="3" t="n"/>
      <c r="AS157" s="3" t="n"/>
    </row>
    <row r="158" ht="20" customHeight="1">
      <c r="A158" s="2" t="n"/>
      <c r="B158" s="2" t="n"/>
      <c r="C158" s="2" t="n"/>
      <c r="D158" s="2" t="n"/>
      <c r="E158" s="53" t="str">
        <f>IF(A158="","",IF(OR(AJ158="EXCLUDE",COUNTIF(AD158:AH158,"LOW")&gt;0),"EXCLUDE",IF(OR(AJ158&lt;&gt;"INCLUDE",F158&lt;&gt;"SUCCESS",D158&lt;&gt;"STORED",U158="",AP158="",AQ158="",AQ158="UNVERIFIED",AND(AP158="OFFICIAL_WEBSITE",Q158=""),AND(OR(AA158="Equipment manual / OEM instruction",AB158="Asset-specific normative"),OR(Z158&lt;&gt;"Manufacturer / supplier",AS158="",AC158=""))),"PENDING",IF(COUNTIF(AD158:AH158,"HIGH")=5,"INCLUDE","PENDING"))))</f>
        <v/>
      </c>
      <c r="F158" s="2" t="n"/>
      <c r="G158" s="81" t="n"/>
      <c r="H158" s="81" t="n"/>
      <c r="I158" s="2" t="n"/>
      <c r="J158" s="2" t="n"/>
      <c r="K158" s="75" t="str">
        <f>IF(A158="","",IF(J158="AUTO",H158,IF(J158="MANUAL",AK158,"")))</f>
        <v/>
      </c>
      <c r="L158" s="2" t="n"/>
      <c r="M158" s="2" t="n"/>
      <c r="N158" s="53" t="str">
        <f>IF(A158="","",IF(COUNTIFS('Human Operation Desktop'!$A$3:$A$502,A158,'Human Operation Desktop'!$I$3:$I$502,"&lt;&gt;APPLIED",'Human Operation Desktop'!$I$3:$I$502,"&lt;&gt;REJECTED")&gt;0,"YES","NO"))</f>
        <v/>
      </c>
      <c r="O158" s="2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76" t="n"/>
      <c r="AL158" s="3" t="n"/>
      <c r="AM158" s="3" t="n"/>
      <c r="AN158" s="3" t="n"/>
      <c r="AO158" s="3" t="n"/>
      <c r="AP158" s="3" t="n"/>
      <c r="AQ158" s="3" t="n"/>
      <c r="AR158" s="3" t="n"/>
      <c r="AS158" s="3" t="n"/>
    </row>
    <row r="159" ht="20" customHeight="1">
      <c r="A159" s="2" t="n"/>
      <c r="B159" s="2" t="n"/>
      <c r="C159" s="2" t="n"/>
      <c r="D159" s="2" t="n"/>
      <c r="E159" s="56" t="str">
        <f>IF(A159="","",IF(OR(AJ159="EXCLUDE",COUNTIF(AD159:AH159,"LOW")&gt;0),"EXCLUDE",IF(OR(AJ159&lt;&gt;"INCLUDE",F159&lt;&gt;"SUCCESS",D159&lt;&gt;"STORED",U159="",AP159="",AQ159="",AQ159="UNVERIFIED",AND(AP159="OFFICIAL_WEBSITE",Q159=""),AND(OR(AA159="Equipment manual / OEM instruction",AB159="Asset-specific normative"),OR(Z159&lt;&gt;"Manufacturer / supplier",AS159="",AC159=""))),"PENDING",IF(COUNTIF(AD159:AH159,"HIGH")=5,"INCLUDE","PENDING"))))</f>
        <v/>
      </c>
      <c r="F159" s="2" t="n"/>
      <c r="G159" s="81" t="n"/>
      <c r="H159" s="81" t="n"/>
      <c r="I159" s="2" t="n"/>
      <c r="J159" s="2" t="n"/>
      <c r="K159" s="73" t="str">
        <f>IF(A159="","",IF(J159="AUTO",H159,IF(J159="MANUAL",AK159,"")))</f>
        <v/>
      </c>
      <c r="L159" s="2" t="n"/>
      <c r="M159" s="2" t="n"/>
      <c r="N159" s="56" t="str">
        <f>IF(A159="","",IF(COUNTIFS('Human Operation Desktop'!$A$3:$A$502,A159,'Human Operation Desktop'!$I$3:$I$502,"&lt;&gt;APPLIED",'Human Operation Desktop'!$I$3:$I$502,"&lt;&gt;REJECTED")&gt;0,"YES","NO"))</f>
        <v/>
      </c>
      <c r="O159" s="2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76" t="n"/>
      <c r="AL159" s="3" t="n"/>
      <c r="AM159" s="3" t="n"/>
      <c r="AN159" s="3" t="n"/>
      <c r="AO159" s="3" t="n"/>
      <c r="AP159" s="3" t="n"/>
      <c r="AQ159" s="3" t="n"/>
      <c r="AR159" s="3" t="n"/>
      <c r="AS159" s="3" t="n"/>
    </row>
    <row r="160" ht="20" customHeight="1">
      <c r="A160" s="2" t="n"/>
      <c r="B160" s="2" t="n"/>
      <c r="C160" s="2" t="n"/>
      <c r="D160" s="2" t="n"/>
      <c r="E160" s="53" t="str">
        <f>IF(A160="","",IF(OR(AJ160="EXCLUDE",COUNTIF(AD160:AH160,"LOW")&gt;0),"EXCLUDE",IF(OR(AJ160&lt;&gt;"INCLUDE",F160&lt;&gt;"SUCCESS",D160&lt;&gt;"STORED",U160="",AP160="",AQ160="",AQ160="UNVERIFIED",AND(AP160="OFFICIAL_WEBSITE",Q160=""),AND(OR(AA160="Equipment manual / OEM instruction",AB160="Asset-specific normative"),OR(Z160&lt;&gt;"Manufacturer / supplier",AS160="",AC160=""))),"PENDING",IF(COUNTIF(AD160:AH160,"HIGH")=5,"INCLUDE","PENDING"))))</f>
        <v/>
      </c>
      <c r="F160" s="2" t="n"/>
      <c r="G160" s="81" t="n"/>
      <c r="H160" s="81" t="n"/>
      <c r="I160" s="2" t="n"/>
      <c r="J160" s="2" t="n"/>
      <c r="K160" s="75" t="str">
        <f>IF(A160="","",IF(J160="AUTO",H160,IF(J160="MANUAL",AK160,"")))</f>
        <v/>
      </c>
      <c r="L160" s="2" t="n"/>
      <c r="M160" s="2" t="n"/>
      <c r="N160" s="53" t="str">
        <f>IF(A160="","",IF(COUNTIFS('Human Operation Desktop'!$A$3:$A$502,A160,'Human Operation Desktop'!$I$3:$I$502,"&lt;&gt;APPLIED",'Human Operation Desktop'!$I$3:$I$502,"&lt;&gt;REJECTED")&gt;0,"YES","NO"))</f>
        <v/>
      </c>
      <c r="O160" s="2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76" t="n"/>
      <c r="AL160" s="3" t="n"/>
      <c r="AM160" s="3" t="n"/>
      <c r="AN160" s="3" t="n"/>
      <c r="AO160" s="3" t="n"/>
      <c r="AP160" s="3" t="n"/>
      <c r="AQ160" s="3" t="n"/>
      <c r="AR160" s="3" t="n"/>
      <c r="AS160" s="3" t="n"/>
    </row>
    <row r="161" ht="20" customHeight="1">
      <c r="A161" s="2" t="n"/>
      <c r="B161" s="2" t="n"/>
      <c r="C161" s="2" t="n"/>
      <c r="D161" s="2" t="n"/>
      <c r="E161" s="56" t="str">
        <f>IF(A161="","",IF(OR(AJ161="EXCLUDE",COUNTIF(AD161:AH161,"LOW")&gt;0),"EXCLUDE",IF(OR(AJ161&lt;&gt;"INCLUDE",F161&lt;&gt;"SUCCESS",D161&lt;&gt;"STORED",U161="",AP161="",AQ161="",AQ161="UNVERIFIED",AND(AP161="OFFICIAL_WEBSITE",Q161=""),AND(OR(AA161="Equipment manual / OEM instruction",AB161="Asset-specific normative"),OR(Z161&lt;&gt;"Manufacturer / supplier",AS161="",AC161=""))),"PENDING",IF(COUNTIF(AD161:AH161,"HIGH")=5,"INCLUDE","PENDING"))))</f>
        <v/>
      </c>
      <c r="F161" s="2" t="n"/>
      <c r="G161" s="81" t="n"/>
      <c r="H161" s="81" t="n"/>
      <c r="I161" s="2" t="n"/>
      <c r="J161" s="2" t="n"/>
      <c r="K161" s="73" t="str">
        <f>IF(A161="","",IF(J161="AUTO",H161,IF(J161="MANUAL",AK161,"")))</f>
        <v/>
      </c>
      <c r="L161" s="2" t="n"/>
      <c r="M161" s="2" t="n"/>
      <c r="N161" s="56" t="str">
        <f>IF(A161="","",IF(COUNTIFS('Human Operation Desktop'!$A$3:$A$502,A161,'Human Operation Desktop'!$I$3:$I$502,"&lt;&gt;APPLIED",'Human Operation Desktop'!$I$3:$I$502,"&lt;&gt;REJECTED")&gt;0,"YES","NO"))</f>
        <v/>
      </c>
      <c r="O161" s="2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76" t="n"/>
      <c r="AL161" s="3" t="n"/>
      <c r="AM161" s="3" t="n"/>
      <c r="AN161" s="3" t="n"/>
      <c r="AO161" s="3" t="n"/>
      <c r="AP161" s="3" t="n"/>
      <c r="AQ161" s="3" t="n"/>
      <c r="AR161" s="3" t="n"/>
      <c r="AS161" s="3" t="n"/>
    </row>
    <row r="162" ht="20" customHeight="1">
      <c r="A162" s="2" t="n"/>
      <c r="B162" s="2" t="n"/>
      <c r="C162" s="2" t="n"/>
      <c r="D162" s="2" t="n"/>
      <c r="E162" s="53" t="str">
        <f>IF(A162="","",IF(OR(AJ162="EXCLUDE",COUNTIF(AD162:AH162,"LOW")&gt;0),"EXCLUDE",IF(OR(AJ162&lt;&gt;"INCLUDE",F162&lt;&gt;"SUCCESS",D162&lt;&gt;"STORED",U162="",AP162="",AQ162="",AQ162="UNVERIFIED",AND(AP162="OFFICIAL_WEBSITE",Q162=""),AND(OR(AA162="Equipment manual / OEM instruction",AB162="Asset-specific normative"),OR(Z162&lt;&gt;"Manufacturer / supplier",AS162="",AC162=""))),"PENDING",IF(COUNTIF(AD162:AH162,"HIGH")=5,"INCLUDE","PENDING"))))</f>
        <v/>
      </c>
      <c r="F162" s="2" t="n"/>
      <c r="G162" s="81" t="n"/>
      <c r="H162" s="81" t="n"/>
      <c r="I162" s="2" t="n"/>
      <c r="J162" s="2" t="n"/>
      <c r="K162" s="75" t="str">
        <f>IF(A162="","",IF(J162="AUTO",H162,IF(J162="MANUAL",AK162,"")))</f>
        <v/>
      </c>
      <c r="L162" s="2" t="n"/>
      <c r="M162" s="2" t="n"/>
      <c r="N162" s="53" t="str">
        <f>IF(A162="","",IF(COUNTIFS('Human Operation Desktop'!$A$3:$A$502,A162,'Human Operation Desktop'!$I$3:$I$502,"&lt;&gt;APPLIED",'Human Operation Desktop'!$I$3:$I$502,"&lt;&gt;REJECTED")&gt;0,"YES","NO"))</f>
        <v/>
      </c>
      <c r="O162" s="2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76" t="n"/>
      <c r="AL162" s="3" t="n"/>
      <c r="AM162" s="3" t="n"/>
      <c r="AN162" s="3" t="n"/>
      <c r="AO162" s="3" t="n"/>
      <c r="AP162" s="3" t="n"/>
      <c r="AQ162" s="3" t="n"/>
      <c r="AR162" s="3" t="n"/>
      <c r="AS162" s="3" t="n"/>
    </row>
    <row r="163" ht="20" customHeight="1">
      <c r="A163" s="2" t="n"/>
      <c r="B163" s="2" t="n"/>
      <c r="C163" s="2" t="n"/>
      <c r="D163" s="2" t="n"/>
      <c r="E163" s="56" t="str">
        <f>IF(A163="","",IF(OR(AJ163="EXCLUDE",COUNTIF(AD163:AH163,"LOW")&gt;0),"EXCLUDE",IF(OR(AJ163&lt;&gt;"INCLUDE",F163&lt;&gt;"SUCCESS",D163&lt;&gt;"STORED",U163="",AP163="",AQ163="",AQ163="UNVERIFIED",AND(AP163="OFFICIAL_WEBSITE",Q163=""),AND(OR(AA163="Equipment manual / OEM instruction",AB163="Asset-specific normative"),OR(Z163&lt;&gt;"Manufacturer / supplier",AS163="",AC163=""))),"PENDING",IF(COUNTIF(AD163:AH163,"HIGH")=5,"INCLUDE","PENDING"))))</f>
        <v/>
      </c>
      <c r="F163" s="2" t="n"/>
      <c r="G163" s="81" t="n"/>
      <c r="H163" s="81" t="n"/>
      <c r="I163" s="2" t="n"/>
      <c r="J163" s="2" t="n"/>
      <c r="K163" s="73" t="str">
        <f>IF(A163="","",IF(J163="AUTO",H163,IF(J163="MANUAL",AK163,"")))</f>
        <v/>
      </c>
      <c r="L163" s="2" t="n"/>
      <c r="M163" s="2" t="n"/>
      <c r="N163" s="56" t="str">
        <f>IF(A163="","",IF(COUNTIFS('Human Operation Desktop'!$A$3:$A$502,A163,'Human Operation Desktop'!$I$3:$I$502,"&lt;&gt;APPLIED",'Human Operation Desktop'!$I$3:$I$502,"&lt;&gt;REJECTED")&gt;0,"YES","NO"))</f>
        <v/>
      </c>
      <c r="O163" s="2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76" t="n"/>
      <c r="AL163" s="3" t="n"/>
      <c r="AM163" s="3" t="n"/>
      <c r="AN163" s="3" t="n"/>
      <c r="AO163" s="3" t="n"/>
      <c r="AP163" s="3" t="n"/>
      <c r="AQ163" s="3" t="n"/>
      <c r="AR163" s="3" t="n"/>
      <c r="AS163" s="3" t="n"/>
    </row>
    <row r="164" ht="20" customHeight="1">
      <c r="A164" s="2" t="n"/>
      <c r="B164" s="2" t="n"/>
      <c r="C164" s="2" t="n"/>
      <c r="D164" s="2" t="n"/>
      <c r="E164" s="53" t="str">
        <f>IF(A164="","",IF(OR(AJ164="EXCLUDE",COUNTIF(AD164:AH164,"LOW")&gt;0),"EXCLUDE",IF(OR(AJ164&lt;&gt;"INCLUDE",F164&lt;&gt;"SUCCESS",D164&lt;&gt;"STORED",U164="",AP164="",AQ164="",AQ164="UNVERIFIED",AND(AP164="OFFICIAL_WEBSITE",Q164=""),AND(OR(AA164="Equipment manual / OEM instruction",AB164="Asset-specific normative"),OR(Z164&lt;&gt;"Manufacturer / supplier",AS164="",AC164=""))),"PENDING",IF(COUNTIF(AD164:AH164,"HIGH")=5,"INCLUDE","PENDING"))))</f>
        <v/>
      </c>
      <c r="F164" s="2" t="n"/>
      <c r="G164" s="81" t="n"/>
      <c r="H164" s="81" t="n"/>
      <c r="I164" s="2" t="n"/>
      <c r="J164" s="2" t="n"/>
      <c r="K164" s="75" t="str">
        <f>IF(A164="","",IF(J164="AUTO",H164,IF(J164="MANUAL",AK164,"")))</f>
        <v/>
      </c>
      <c r="L164" s="2" t="n"/>
      <c r="M164" s="2" t="n"/>
      <c r="N164" s="53" t="str">
        <f>IF(A164="","",IF(COUNTIFS('Human Operation Desktop'!$A$3:$A$502,A164,'Human Operation Desktop'!$I$3:$I$502,"&lt;&gt;APPLIED",'Human Operation Desktop'!$I$3:$I$502,"&lt;&gt;REJECTED")&gt;0,"YES","NO"))</f>
        <v/>
      </c>
      <c r="O164" s="2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76" t="n"/>
      <c r="AL164" s="3" t="n"/>
      <c r="AM164" s="3" t="n"/>
      <c r="AN164" s="3" t="n"/>
      <c r="AO164" s="3" t="n"/>
      <c r="AP164" s="3" t="n"/>
      <c r="AQ164" s="3" t="n"/>
      <c r="AR164" s="3" t="n"/>
      <c r="AS164" s="3" t="n"/>
    </row>
    <row r="165" ht="20" customHeight="1">
      <c r="A165" s="2" t="n"/>
      <c r="B165" s="2" t="n"/>
      <c r="C165" s="2" t="n"/>
      <c r="D165" s="2" t="n"/>
      <c r="E165" s="56" t="str">
        <f>IF(A165="","",IF(OR(AJ165="EXCLUDE",COUNTIF(AD165:AH165,"LOW")&gt;0),"EXCLUDE",IF(OR(AJ165&lt;&gt;"INCLUDE",F165&lt;&gt;"SUCCESS",D165&lt;&gt;"STORED",U165="",AP165="",AQ165="",AQ165="UNVERIFIED",AND(AP165="OFFICIAL_WEBSITE",Q165=""),AND(OR(AA165="Equipment manual / OEM instruction",AB165="Asset-specific normative"),OR(Z165&lt;&gt;"Manufacturer / supplier",AS165="",AC165=""))),"PENDING",IF(COUNTIF(AD165:AH165,"HIGH")=5,"INCLUDE","PENDING"))))</f>
        <v/>
      </c>
      <c r="F165" s="2" t="n"/>
      <c r="G165" s="81" t="n"/>
      <c r="H165" s="81" t="n"/>
      <c r="I165" s="2" t="n"/>
      <c r="J165" s="2" t="n"/>
      <c r="K165" s="73" t="str">
        <f>IF(A165="","",IF(J165="AUTO",H165,IF(J165="MANUAL",AK165,"")))</f>
        <v/>
      </c>
      <c r="L165" s="2" t="n"/>
      <c r="M165" s="2" t="n"/>
      <c r="N165" s="56" t="str">
        <f>IF(A165="","",IF(COUNTIFS('Human Operation Desktop'!$A$3:$A$502,A165,'Human Operation Desktop'!$I$3:$I$502,"&lt;&gt;APPLIED",'Human Operation Desktop'!$I$3:$I$502,"&lt;&gt;REJECTED")&gt;0,"YES","NO"))</f>
        <v/>
      </c>
      <c r="O165" s="2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76" t="n"/>
      <c r="AL165" s="3" t="n"/>
      <c r="AM165" s="3" t="n"/>
      <c r="AN165" s="3" t="n"/>
      <c r="AO165" s="3" t="n"/>
      <c r="AP165" s="3" t="n"/>
      <c r="AQ165" s="3" t="n"/>
      <c r="AR165" s="3" t="n"/>
      <c r="AS165" s="3" t="n"/>
    </row>
    <row r="166" ht="20" customHeight="1">
      <c r="A166" s="2" t="n"/>
      <c r="B166" s="2" t="n"/>
      <c r="C166" s="2" t="n"/>
      <c r="D166" s="2" t="n"/>
      <c r="E166" s="53" t="str">
        <f>IF(A166="","",IF(OR(AJ166="EXCLUDE",COUNTIF(AD166:AH166,"LOW")&gt;0),"EXCLUDE",IF(OR(AJ166&lt;&gt;"INCLUDE",F166&lt;&gt;"SUCCESS",D166&lt;&gt;"STORED",U166="",AP166="",AQ166="",AQ166="UNVERIFIED",AND(AP166="OFFICIAL_WEBSITE",Q166=""),AND(OR(AA166="Equipment manual / OEM instruction",AB166="Asset-specific normative"),OR(Z166&lt;&gt;"Manufacturer / supplier",AS166="",AC166=""))),"PENDING",IF(COUNTIF(AD166:AH166,"HIGH")=5,"INCLUDE","PENDING"))))</f>
        <v/>
      </c>
      <c r="F166" s="2" t="n"/>
      <c r="G166" s="81" t="n"/>
      <c r="H166" s="81" t="n"/>
      <c r="I166" s="2" t="n"/>
      <c r="J166" s="2" t="n"/>
      <c r="K166" s="75" t="str">
        <f>IF(A166="","",IF(J166="AUTO",H166,IF(J166="MANUAL",AK166,"")))</f>
        <v/>
      </c>
      <c r="L166" s="2" t="n"/>
      <c r="M166" s="2" t="n"/>
      <c r="N166" s="53" t="str">
        <f>IF(A166="","",IF(COUNTIFS('Human Operation Desktop'!$A$3:$A$502,A166,'Human Operation Desktop'!$I$3:$I$502,"&lt;&gt;APPLIED",'Human Operation Desktop'!$I$3:$I$502,"&lt;&gt;REJECTED")&gt;0,"YES","NO"))</f>
        <v/>
      </c>
      <c r="O166" s="2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76" t="n"/>
      <c r="AL166" s="3" t="n"/>
      <c r="AM166" s="3" t="n"/>
      <c r="AN166" s="3" t="n"/>
      <c r="AO166" s="3" t="n"/>
      <c r="AP166" s="3" t="n"/>
      <c r="AQ166" s="3" t="n"/>
      <c r="AR166" s="3" t="n"/>
      <c r="AS166" s="3" t="n"/>
    </row>
    <row r="167" ht="20" customHeight="1">
      <c r="A167" s="2" t="n"/>
      <c r="B167" s="2" t="n"/>
      <c r="C167" s="2" t="n"/>
      <c r="D167" s="2" t="n"/>
      <c r="E167" s="56" t="str">
        <f>IF(A167="","",IF(OR(AJ167="EXCLUDE",COUNTIF(AD167:AH167,"LOW")&gt;0),"EXCLUDE",IF(OR(AJ167&lt;&gt;"INCLUDE",F167&lt;&gt;"SUCCESS",D167&lt;&gt;"STORED",U167="",AP167="",AQ167="",AQ167="UNVERIFIED",AND(AP167="OFFICIAL_WEBSITE",Q167=""),AND(OR(AA167="Equipment manual / OEM instruction",AB167="Asset-specific normative"),OR(Z167&lt;&gt;"Manufacturer / supplier",AS167="",AC167=""))),"PENDING",IF(COUNTIF(AD167:AH167,"HIGH")=5,"INCLUDE","PENDING"))))</f>
        <v/>
      </c>
      <c r="F167" s="2" t="n"/>
      <c r="G167" s="81" t="n"/>
      <c r="H167" s="81" t="n"/>
      <c r="I167" s="2" t="n"/>
      <c r="J167" s="2" t="n"/>
      <c r="K167" s="73" t="str">
        <f>IF(A167="","",IF(J167="AUTO",H167,IF(J167="MANUAL",AK167,"")))</f>
        <v/>
      </c>
      <c r="L167" s="2" t="n"/>
      <c r="M167" s="2" t="n"/>
      <c r="N167" s="56" t="str">
        <f>IF(A167="","",IF(COUNTIFS('Human Operation Desktop'!$A$3:$A$502,A167,'Human Operation Desktop'!$I$3:$I$502,"&lt;&gt;APPLIED",'Human Operation Desktop'!$I$3:$I$502,"&lt;&gt;REJECTED")&gt;0,"YES","NO"))</f>
        <v/>
      </c>
      <c r="O167" s="2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76" t="n"/>
      <c r="AL167" s="3" t="n"/>
      <c r="AM167" s="3" t="n"/>
      <c r="AN167" s="3" t="n"/>
      <c r="AO167" s="3" t="n"/>
      <c r="AP167" s="3" t="n"/>
      <c r="AQ167" s="3" t="n"/>
      <c r="AR167" s="3" t="n"/>
      <c r="AS167" s="3" t="n"/>
    </row>
    <row r="168" ht="20" customHeight="1">
      <c r="A168" s="2" t="n"/>
      <c r="B168" s="2" t="n"/>
      <c r="C168" s="2" t="n"/>
      <c r="D168" s="2" t="n"/>
      <c r="E168" s="53" t="str">
        <f>IF(A168="","",IF(OR(AJ168="EXCLUDE",COUNTIF(AD168:AH168,"LOW")&gt;0),"EXCLUDE",IF(OR(AJ168&lt;&gt;"INCLUDE",F168&lt;&gt;"SUCCESS",D168&lt;&gt;"STORED",U168="",AP168="",AQ168="",AQ168="UNVERIFIED",AND(AP168="OFFICIAL_WEBSITE",Q168=""),AND(OR(AA168="Equipment manual / OEM instruction",AB168="Asset-specific normative"),OR(Z168&lt;&gt;"Manufacturer / supplier",AS168="",AC168=""))),"PENDING",IF(COUNTIF(AD168:AH168,"HIGH")=5,"INCLUDE","PENDING"))))</f>
        <v/>
      </c>
      <c r="F168" s="2" t="n"/>
      <c r="G168" s="81" t="n"/>
      <c r="H168" s="81" t="n"/>
      <c r="I168" s="2" t="n"/>
      <c r="J168" s="2" t="n"/>
      <c r="K168" s="75" t="str">
        <f>IF(A168="","",IF(J168="AUTO",H168,IF(J168="MANUAL",AK168,"")))</f>
        <v/>
      </c>
      <c r="L168" s="2" t="n"/>
      <c r="M168" s="2" t="n"/>
      <c r="N168" s="53" t="str">
        <f>IF(A168="","",IF(COUNTIFS('Human Operation Desktop'!$A$3:$A$502,A168,'Human Operation Desktop'!$I$3:$I$502,"&lt;&gt;APPLIED",'Human Operation Desktop'!$I$3:$I$502,"&lt;&gt;REJECTED")&gt;0,"YES","NO"))</f>
        <v/>
      </c>
      <c r="O168" s="2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76" t="n"/>
      <c r="AL168" s="3" t="n"/>
      <c r="AM168" s="3" t="n"/>
      <c r="AN168" s="3" t="n"/>
      <c r="AO168" s="3" t="n"/>
      <c r="AP168" s="3" t="n"/>
      <c r="AQ168" s="3" t="n"/>
      <c r="AR168" s="3" t="n"/>
      <c r="AS168" s="3" t="n"/>
    </row>
    <row r="169" ht="20" customHeight="1">
      <c r="A169" s="2" t="n"/>
      <c r="B169" s="2" t="n"/>
      <c r="C169" s="2" t="n"/>
      <c r="D169" s="2" t="n"/>
      <c r="E169" s="56" t="str">
        <f>IF(A169="","",IF(OR(AJ169="EXCLUDE",COUNTIF(AD169:AH169,"LOW")&gt;0),"EXCLUDE",IF(OR(AJ169&lt;&gt;"INCLUDE",F169&lt;&gt;"SUCCESS",D169&lt;&gt;"STORED",U169="",AP169="",AQ169="",AQ169="UNVERIFIED",AND(AP169="OFFICIAL_WEBSITE",Q169=""),AND(OR(AA169="Equipment manual / OEM instruction",AB169="Asset-specific normative"),OR(Z169&lt;&gt;"Manufacturer / supplier",AS169="",AC169=""))),"PENDING",IF(COUNTIF(AD169:AH169,"HIGH")=5,"INCLUDE","PENDING"))))</f>
        <v/>
      </c>
      <c r="F169" s="2" t="n"/>
      <c r="G169" s="81" t="n"/>
      <c r="H169" s="81" t="n"/>
      <c r="I169" s="2" t="n"/>
      <c r="J169" s="2" t="n"/>
      <c r="K169" s="73" t="str">
        <f>IF(A169="","",IF(J169="AUTO",H169,IF(J169="MANUAL",AK169,"")))</f>
        <v/>
      </c>
      <c r="L169" s="2" t="n"/>
      <c r="M169" s="2" t="n"/>
      <c r="N169" s="56" t="str">
        <f>IF(A169="","",IF(COUNTIFS('Human Operation Desktop'!$A$3:$A$502,A169,'Human Operation Desktop'!$I$3:$I$502,"&lt;&gt;APPLIED",'Human Operation Desktop'!$I$3:$I$502,"&lt;&gt;REJECTED")&gt;0,"YES","NO"))</f>
        <v/>
      </c>
      <c r="O169" s="2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76" t="n"/>
      <c r="AL169" s="3" t="n"/>
      <c r="AM169" s="3" t="n"/>
      <c r="AN169" s="3" t="n"/>
      <c r="AO169" s="3" t="n"/>
      <c r="AP169" s="3" t="n"/>
      <c r="AQ169" s="3" t="n"/>
      <c r="AR169" s="3" t="n"/>
      <c r="AS169" s="3" t="n"/>
    </row>
    <row r="170" ht="20" customHeight="1">
      <c r="A170" s="2" t="n"/>
      <c r="B170" s="2" t="n"/>
      <c r="C170" s="2" t="n"/>
      <c r="D170" s="2" t="n"/>
      <c r="E170" s="53" t="str">
        <f>IF(A170="","",IF(OR(AJ170="EXCLUDE",COUNTIF(AD170:AH170,"LOW")&gt;0),"EXCLUDE",IF(OR(AJ170&lt;&gt;"INCLUDE",F170&lt;&gt;"SUCCESS",D170&lt;&gt;"STORED",U170="",AP170="",AQ170="",AQ170="UNVERIFIED",AND(AP170="OFFICIAL_WEBSITE",Q170=""),AND(OR(AA170="Equipment manual / OEM instruction",AB170="Asset-specific normative"),OR(Z170&lt;&gt;"Manufacturer / supplier",AS170="",AC170=""))),"PENDING",IF(COUNTIF(AD170:AH170,"HIGH")=5,"INCLUDE","PENDING"))))</f>
        <v/>
      </c>
      <c r="F170" s="2" t="n"/>
      <c r="G170" s="81" t="n"/>
      <c r="H170" s="81" t="n"/>
      <c r="I170" s="2" t="n"/>
      <c r="J170" s="2" t="n"/>
      <c r="K170" s="75" t="str">
        <f>IF(A170="","",IF(J170="AUTO",H170,IF(J170="MANUAL",AK170,"")))</f>
        <v/>
      </c>
      <c r="L170" s="2" t="n"/>
      <c r="M170" s="2" t="n"/>
      <c r="N170" s="53" t="str">
        <f>IF(A170="","",IF(COUNTIFS('Human Operation Desktop'!$A$3:$A$502,A170,'Human Operation Desktop'!$I$3:$I$502,"&lt;&gt;APPLIED",'Human Operation Desktop'!$I$3:$I$502,"&lt;&gt;REJECTED")&gt;0,"YES","NO"))</f>
        <v/>
      </c>
      <c r="O170" s="2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76" t="n"/>
      <c r="AL170" s="3" t="n"/>
      <c r="AM170" s="3" t="n"/>
      <c r="AN170" s="3" t="n"/>
      <c r="AO170" s="3" t="n"/>
      <c r="AP170" s="3" t="n"/>
      <c r="AQ170" s="3" t="n"/>
      <c r="AR170" s="3" t="n"/>
      <c r="AS170" s="3" t="n"/>
    </row>
    <row r="171" ht="20" customHeight="1">
      <c r="A171" s="2" t="n"/>
      <c r="B171" s="2" t="n"/>
      <c r="C171" s="2" t="n"/>
      <c r="D171" s="2" t="n"/>
      <c r="E171" s="56" t="str">
        <f>IF(A171="","",IF(OR(AJ171="EXCLUDE",COUNTIF(AD171:AH171,"LOW")&gt;0),"EXCLUDE",IF(OR(AJ171&lt;&gt;"INCLUDE",F171&lt;&gt;"SUCCESS",D171&lt;&gt;"STORED",U171="",AP171="",AQ171="",AQ171="UNVERIFIED",AND(AP171="OFFICIAL_WEBSITE",Q171=""),AND(OR(AA171="Equipment manual / OEM instruction",AB171="Asset-specific normative"),OR(Z171&lt;&gt;"Manufacturer / supplier",AS171="",AC171=""))),"PENDING",IF(COUNTIF(AD171:AH171,"HIGH")=5,"INCLUDE","PENDING"))))</f>
        <v/>
      </c>
      <c r="F171" s="2" t="n"/>
      <c r="G171" s="81" t="n"/>
      <c r="H171" s="81" t="n"/>
      <c r="I171" s="2" t="n"/>
      <c r="J171" s="2" t="n"/>
      <c r="K171" s="73" t="str">
        <f>IF(A171="","",IF(J171="AUTO",H171,IF(J171="MANUAL",AK171,"")))</f>
        <v/>
      </c>
      <c r="L171" s="2" t="n"/>
      <c r="M171" s="2" t="n"/>
      <c r="N171" s="56" t="str">
        <f>IF(A171="","",IF(COUNTIFS('Human Operation Desktop'!$A$3:$A$502,A171,'Human Operation Desktop'!$I$3:$I$502,"&lt;&gt;APPLIED",'Human Operation Desktop'!$I$3:$I$502,"&lt;&gt;REJECTED")&gt;0,"YES","NO"))</f>
        <v/>
      </c>
      <c r="O171" s="2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76" t="n"/>
      <c r="AL171" s="3" t="n"/>
      <c r="AM171" s="3" t="n"/>
      <c r="AN171" s="3" t="n"/>
      <c r="AO171" s="3" t="n"/>
      <c r="AP171" s="3" t="n"/>
      <c r="AQ171" s="3" t="n"/>
      <c r="AR171" s="3" t="n"/>
      <c r="AS171" s="3" t="n"/>
    </row>
    <row r="172" ht="20" customHeight="1">
      <c r="A172" s="2" t="n"/>
      <c r="B172" s="2" t="n"/>
      <c r="C172" s="2" t="n"/>
      <c r="D172" s="2" t="n"/>
      <c r="E172" s="53" t="str">
        <f>IF(A172="","",IF(OR(AJ172="EXCLUDE",COUNTIF(AD172:AH172,"LOW")&gt;0),"EXCLUDE",IF(OR(AJ172&lt;&gt;"INCLUDE",F172&lt;&gt;"SUCCESS",D172&lt;&gt;"STORED",U172="",AP172="",AQ172="",AQ172="UNVERIFIED",AND(AP172="OFFICIAL_WEBSITE",Q172=""),AND(OR(AA172="Equipment manual / OEM instruction",AB172="Asset-specific normative"),OR(Z172&lt;&gt;"Manufacturer / supplier",AS172="",AC172=""))),"PENDING",IF(COUNTIF(AD172:AH172,"HIGH")=5,"INCLUDE","PENDING"))))</f>
        <v/>
      </c>
      <c r="F172" s="2" t="n"/>
      <c r="G172" s="81" t="n"/>
      <c r="H172" s="81" t="n"/>
      <c r="I172" s="2" t="n"/>
      <c r="J172" s="2" t="n"/>
      <c r="K172" s="75" t="str">
        <f>IF(A172="","",IF(J172="AUTO",H172,IF(J172="MANUAL",AK172,"")))</f>
        <v/>
      </c>
      <c r="L172" s="2" t="n"/>
      <c r="M172" s="2" t="n"/>
      <c r="N172" s="53" t="str">
        <f>IF(A172="","",IF(COUNTIFS('Human Operation Desktop'!$A$3:$A$502,A172,'Human Operation Desktop'!$I$3:$I$502,"&lt;&gt;APPLIED",'Human Operation Desktop'!$I$3:$I$502,"&lt;&gt;REJECTED")&gt;0,"YES","NO"))</f>
        <v/>
      </c>
      <c r="O172" s="2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76" t="n"/>
      <c r="AL172" s="3" t="n"/>
      <c r="AM172" s="3" t="n"/>
      <c r="AN172" s="3" t="n"/>
      <c r="AO172" s="3" t="n"/>
      <c r="AP172" s="3" t="n"/>
      <c r="AQ172" s="3" t="n"/>
      <c r="AR172" s="3" t="n"/>
      <c r="AS172" s="3" t="n"/>
    </row>
    <row r="173" ht="20" customHeight="1">
      <c r="A173" s="2" t="n"/>
      <c r="B173" s="2" t="n"/>
      <c r="C173" s="2" t="n"/>
      <c r="D173" s="2" t="n"/>
      <c r="E173" s="56" t="str">
        <f>IF(A173="","",IF(OR(AJ173="EXCLUDE",COUNTIF(AD173:AH173,"LOW")&gt;0),"EXCLUDE",IF(OR(AJ173&lt;&gt;"INCLUDE",F173&lt;&gt;"SUCCESS",D173&lt;&gt;"STORED",U173="",AP173="",AQ173="",AQ173="UNVERIFIED",AND(AP173="OFFICIAL_WEBSITE",Q173=""),AND(OR(AA173="Equipment manual / OEM instruction",AB173="Asset-specific normative"),OR(Z173&lt;&gt;"Manufacturer / supplier",AS173="",AC173=""))),"PENDING",IF(COUNTIF(AD173:AH173,"HIGH")=5,"INCLUDE","PENDING"))))</f>
        <v/>
      </c>
      <c r="F173" s="2" t="n"/>
      <c r="G173" s="81" t="n"/>
      <c r="H173" s="81" t="n"/>
      <c r="I173" s="2" t="n"/>
      <c r="J173" s="2" t="n"/>
      <c r="K173" s="73" t="str">
        <f>IF(A173="","",IF(J173="AUTO",H173,IF(J173="MANUAL",AK173,"")))</f>
        <v/>
      </c>
      <c r="L173" s="2" t="n"/>
      <c r="M173" s="2" t="n"/>
      <c r="N173" s="56" t="str">
        <f>IF(A173="","",IF(COUNTIFS('Human Operation Desktop'!$A$3:$A$502,A173,'Human Operation Desktop'!$I$3:$I$502,"&lt;&gt;APPLIED",'Human Operation Desktop'!$I$3:$I$502,"&lt;&gt;REJECTED")&gt;0,"YES","NO"))</f>
        <v/>
      </c>
      <c r="O173" s="2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76" t="n"/>
      <c r="AL173" s="3" t="n"/>
      <c r="AM173" s="3" t="n"/>
      <c r="AN173" s="3" t="n"/>
      <c r="AO173" s="3" t="n"/>
      <c r="AP173" s="3" t="n"/>
      <c r="AQ173" s="3" t="n"/>
      <c r="AR173" s="3" t="n"/>
      <c r="AS173" s="3" t="n"/>
    </row>
    <row r="174" ht="20" customHeight="1">
      <c r="A174" s="2" t="n"/>
      <c r="B174" s="2" t="n"/>
      <c r="C174" s="2" t="n"/>
      <c r="D174" s="2" t="n"/>
      <c r="E174" s="53" t="str">
        <f>IF(A174="","",IF(OR(AJ174="EXCLUDE",COUNTIF(AD174:AH174,"LOW")&gt;0),"EXCLUDE",IF(OR(AJ174&lt;&gt;"INCLUDE",F174&lt;&gt;"SUCCESS",D174&lt;&gt;"STORED",U174="",AP174="",AQ174="",AQ174="UNVERIFIED",AND(AP174="OFFICIAL_WEBSITE",Q174=""),AND(OR(AA174="Equipment manual / OEM instruction",AB174="Asset-specific normative"),OR(Z174&lt;&gt;"Manufacturer / supplier",AS174="",AC174=""))),"PENDING",IF(COUNTIF(AD174:AH174,"HIGH")=5,"INCLUDE","PENDING"))))</f>
        <v/>
      </c>
      <c r="F174" s="2" t="n"/>
      <c r="G174" s="81" t="n"/>
      <c r="H174" s="81" t="n"/>
      <c r="I174" s="2" t="n"/>
      <c r="J174" s="2" t="n"/>
      <c r="K174" s="75" t="str">
        <f>IF(A174="","",IF(J174="AUTO",H174,IF(J174="MANUAL",AK174,"")))</f>
        <v/>
      </c>
      <c r="L174" s="2" t="n"/>
      <c r="M174" s="2" t="n"/>
      <c r="N174" s="53" t="str">
        <f>IF(A174="","",IF(COUNTIFS('Human Operation Desktop'!$A$3:$A$502,A174,'Human Operation Desktop'!$I$3:$I$502,"&lt;&gt;APPLIED",'Human Operation Desktop'!$I$3:$I$502,"&lt;&gt;REJECTED")&gt;0,"YES","NO"))</f>
        <v/>
      </c>
      <c r="O174" s="2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76" t="n"/>
      <c r="AL174" s="3" t="n"/>
      <c r="AM174" s="3" t="n"/>
      <c r="AN174" s="3" t="n"/>
      <c r="AO174" s="3" t="n"/>
      <c r="AP174" s="3" t="n"/>
      <c r="AQ174" s="3" t="n"/>
      <c r="AR174" s="3" t="n"/>
      <c r="AS174" s="3" t="n"/>
    </row>
    <row r="175" ht="20" customHeight="1">
      <c r="A175" s="2" t="n"/>
      <c r="B175" s="2" t="n"/>
      <c r="C175" s="2" t="n"/>
      <c r="D175" s="2" t="n"/>
      <c r="E175" s="56" t="str">
        <f>IF(A175="","",IF(OR(AJ175="EXCLUDE",COUNTIF(AD175:AH175,"LOW")&gt;0),"EXCLUDE",IF(OR(AJ175&lt;&gt;"INCLUDE",F175&lt;&gt;"SUCCESS",D175&lt;&gt;"STORED",U175="",AP175="",AQ175="",AQ175="UNVERIFIED",AND(AP175="OFFICIAL_WEBSITE",Q175=""),AND(OR(AA175="Equipment manual / OEM instruction",AB175="Asset-specific normative"),OR(Z175&lt;&gt;"Manufacturer / supplier",AS175="",AC175=""))),"PENDING",IF(COUNTIF(AD175:AH175,"HIGH")=5,"INCLUDE","PENDING"))))</f>
        <v/>
      </c>
      <c r="F175" s="2" t="n"/>
      <c r="G175" s="81" t="n"/>
      <c r="H175" s="81" t="n"/>
      <c r="I175" s="2" t="n"/>
      <c r="J175" s="2" t="n"/>
      <c r="K175" s="73" t="str">
        <f>IF(A175="","",IF(J175="AUTO",H175,IF(J175="MANUAL",AK175,"")))</f>
        <v/>
      </c>
      <c r="L175" s="2" t="n"/>
      <c r="M175" s="2" t="n"/>
      <c r="N175" s="56" t="str">
        <f>IF(A175="","",IF(COUNTIFS('Human Operation Desktop'!$A$3:$A$502,A175,'Human Operation Desktop'!$I$3:$I$502,"&lt;&gt;APPLIED",'Human Operation Desktop'!$I$3:$I$502,"&lt;&gt;REJECTED")&gt;0,"YES","NO"))</f>
        <v/>
      </c>
      <c r="O175" s="2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76" t="n"/>
      <c r="AL175" s="3" t="n"/>
      <c r="AM175" s="3" t="n"/>
      <c r="AN175" s="3" t="n"/>
      <c r="AO175" s="3" t="n"/>
      <c r="AP175" s="3" t="n"/>
      <c r="AQ175" s="3" t="n"/>
      <c r="AR175" s="3" t="n"/>
      <c r="AS175" s="3" t="n"/>
    </row>
    <row r="176" ht="20" customHeight="1">
      <c r="A176" s="2" t="n"/>
      <c r="B176" s="2" t="n"/>
      <c r="C176" s="2" t="n"/>
      <c r="D176" s="2" t="n"/>
      <c r="E176" s="53" t="str">
        <f>IF(A176="","",IF(OR(AJ176="EXCLUDE",COUNTIF(AD176:AH176,"LOW")&gt;0),"EXCLUDE",IF(OR(AJ176&lt;&gt;"INCLUDE",F176&lt;&gt;"SUCCESS",D176&lt;&gt;"STORED",U176="",AP176="",AQ176="",AQ176="UNVERIFIED",AND(AP176="OFFICIAL_WEBSITE",Q176=""),AND(OR(AA176="Equipment manual / OEM instruction",AB176="Asset-specific normative"),OR(Z176&lt;&gt;"Manufacturer / supplier",AS176="",AC176=""))),"PENDING",IF(COUNTIF(AD176:AH176,"HIGH")=5,"INCLUDE","PENDING"))))</f>
        <v/>
      </c>
      <c r="F176" s="2" t="n"/>
      <c r="G176" s="81" t="n"/>
      <c r="H176" s="81" t="n"/>
      <c r="I176" s="2" t="n"/>
      <c r="J176" s="2" t="n"/>
      <c r="K176" s="75" t="str">
        <f>IF(A176="","",IF(J176="AUTO",H176,IF(J176="MANUAL",AK176,"")))</f>
        <v/>
      </c>
      <c r="L176" s="2" t="n"/>
      <c r="M176" s="2" t="n"/>
      <c r="N176" s="53" t="str">
        <f>IF(A176="","",IF(COUNTIFS('Human Operation Desktop'!$A$3:$A$502,A176,'Human Operation Desktop'!$I$3:$I$502,"&lt;&gt;APPLIED",'Human Operation Desktop'!$I$3:$I$502,"&lt;&gt;REJECTED")&gt;0,"YES","NO"))</f>
        <v/>
      </c>
      <c r="O176" s="2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76" t="n"/>
      <c r="AL176" s="3" t="n"/>
      <c r="AM176" s="3" t="n"/>
      <c r="AN176" s="3" t="n"/>
      <c r="AO176" s="3" t="n"/>
      <c r="AP176" s="3" t="n"/>
      <c r="AQ176" s="3" t="n"/>
      <c r="AR176" s="3" t="n"/>
      <c r="AS176" s="3" t="n"/>
    </row>
    <row r="177" ht="20" customHeight="1">
      <c r="A177" s="2" t="n"/>
      <c r="B177" s="2" t="n"/>
      <c r="C177" s="2" t="n"/>
      <c r="D177" s="2" t="n"/>
      <c r="E177" s="56" t="str">
        <f>IF(A177="","",IF(OR(AJ177="EXCLUDE",COUNTIF(AD177:AH177,"LOW")&gt;0),"EXCLUDE",IF(OR(AJ177&lt;&gt;"INCLUDE",F177&lt;&gt;"SUCCESS",D177&lt;&gt;"STORED",U177="",AP177="",AQ177="",AQ177="UNVERIFIED",AND(AP177="OFFICIAL_WEBSITE",Q177=""),AND(OR(AA177="Equipment manual / OEM instruction",AB177="Asset-specific normative"),OR(Z177&lt;&gt;"Manufacturer / supplier",AS177="",AC177=""))),"PENDING",IF(COUNTIF(AD177:AH177,"HIGH")=5,"INCLUDE","PENDING"))))</f>
        <v/>
      </c>
      <c r="F177" s="2" t="n"/>
      <c r="G177" s="81" t="n"/>
      <c r="H177" s="81" t="n"/>
      <c r="I177" s="2" t="n"/>
      <c r="J177" s="2" t="n"/>
      <c r="K177" s="73" t="str">
        <f>IF(A177="","",IF(J177="AUTO",H177,IF(J177="MANUAL",AK177,"")))</f>
        <v/>
      </c>
      <c r="L177" s="2" t="n"/>
      <c r="M177" s="2" t="n"/>
      <c r="N177" s="56" t="str">
        <f>IF(A177="","",IF(COUNTIFS('Human Operation Desktop'!$A$3:$A$502,A177,'Human Operation Desktop'!$I$3:$I$502,"&lt;&gt;APPLIED",'Human Operation Desktop'!$I$3:$I$502,"&lt;&gt;REJECTED")&gt;0,"YES","NO"))</f>
        <v/>
      </c>
      <c r="O177" s="2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76" t="n"/>
      <c r="AL177" s="3" t="n"/>
      <c r="AM177" s="3" t="n"/>
      <c r="AN177" s="3" t="n"/>
      <c r="AO177" s="3" t="n"/>
      <c r="AP177" s="3" t="n"/>
      <c r="AQ177" s="3" t="n"/>
      <c r="AR177" s="3" t="n"/>
      <c r="AS177" s="3" t="n"/>
    </row>
    <row r="178" ht="20" customHeight="1">
      <c r="A178" s="2" t="n"/>
      <c r="B178" s="2" t="n"/>
      <c r="C178" s="2" t="n"/>
      <c r="D178" s="2" t="n"/>
      <c r="E178" s="53" t="str">
        <f>IF(A178="","",IF(OR(AJ178="EXCLUDE",COUNTIF(AD178:AH178,"LOW")&gt;0),"EXCLUDE",IF(OR(AJ178&lt;&gt;"INCLUDE",F178&lt;&gt;"SUCCESS",D178&lt;&gt;"STORED",U178="",AP178="",AQ178="",AQ178="UNVERIFIED",AND(AP178="OFFICIAL_WEBSITE",Q178=""),AND(OR(AA178="Equipment manual / OEM instruction",AB178="Asset-specific normative"),OR(Z178&lt;&gt;"Manufacturer / supplier",AS178="",AC178=""))),"PENDING",IF(COUNTIF(AD178:AH178,"HIGH")=5,"INCLUDE","PENDING"))))</f>
        <v/>
      </c>
      <c r="F178" s="2" t="n"/>
      <c r="G178" s="81" t="n"/>
      <c r="H178" s="81" t="n"/>
      <c r="I178" s="2" t="n"/>
      <c r="J178" s="2" t="n"/>
      <c r="K178" s="75" t="str">
        <f>IF(A178="","",IF(J178="AUTO",H178,IF(J178="MANUAL",AK178,"")))</f>
        <v/>
      </c>
      <c r="L178" s="2" t="n"/>
      <c r="M178" s="2" t="n"/>
      <c r="N178" s="53" t="str">
        <f>IF(A178="","",IF(COUNTIFS('Human Operation Desktop'!$A$3:$A$502,A178,'Human Operation Desktop'!$I$3:$I$502,"&lt;&gt;APPLIED",'Human Operation Desktop'!$I$3:$I$502,"&lt;&gt;REJECTED")&gt;0,"YES","NO"))</f>
        <v/>
      </c>
      <c r="O178" s="2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76" t="n"/>
      <c r="AL178" s="3" t="n"/>
      <c r="AM178" s="3" t="n"/>
      <c r="AN178" s="3" t="n"/>
      <c r="AO178" s="3" t="n"/>
      <c r="AP178" s="3" t="n"/>
      <c r="AQ178" s="3" t="n"/>
      <c r="AR178" s="3" t="n"/>
      <c r="AS178" s="3" t="n"/>
    </row>
    <row r="179" ht="20" customHeight="1">
      <c r="A179" s="2" t="n"/>
      <c r="B179" s="2" t="n"/>
      <c r="C179" s="2" t="n"/>
      <c r="D179" s="2" t="n"/>
      <c r="E179" s="56" t="str">
        <f>IF(A179="","",IF(OR(AJ179="EXCLUDE",COUNTIF(AD179:AH179,"LOW")&gt;0),"EXCLUDE",IF(OR(AJ179&lt;&gt;"INCLUDE",F179&lt;&gt;"SUCCESS",D179&lt;&gt;"STORED",U179="",AP179="",AQ179="",AQ179="UNVERIFIED",AND(AP179="OFFICIAL_WEBSITE",Q179=""),AND(OR(AA179="Equipment manual / OEM instruction",AB179="Asset-specific normative"),OR(Z179&lt;&gt;"Manufacturer / supplier",AS179="",AC179=""))),"PENDING",IF(COUNTIF(AD179:AH179,"HIGH")=5,"INCLUDE","PENDING"))))</f>
        <v/>
      </c>
      <c r="F179" s="2" t="n"/>
      <c r="G179" s="81" t="n"/>
      <c r="H179" s="81" t="n"/>
      <c r="I179" s="2" t="n"/>
      <c r="J179" s="2" t="n"/>
      <c r="K179" s="73" t="str">
        <f>IF(A179="","",IF(J179="AUTO",H179,IF(J179="MANUAL",AK179,"")))</f>
        <v/>
      </c>
      <c r="L179" s="2" t="n"/>
      <c r="M179" s="2" t="n"/>
      <c r="N179" s="56" t="str">
        <f>IF(A179="","",IF(COUNTIFS('Human Operation Desktop'!$A$3:$A$502,A179,'Human Operation Desktop'!$I$3:$I$502,"&lt;&gt;APPLIED",'Human Operation Desktop'!$I$3:$I$502,"&lt;&gt;REJECTED")&gt;0,"YES","NO"))</f>
        <v/>
      </c>
      <c r="O179" s="2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76" t="n"/>
      <c r="AL179" s="3" t="n"/>
      <c r="AM179" s="3" t="n"/>
      <c r="AN179" s="3" t="n"/>
      <c r="AO179" s="3" t="n"/>
      <c r="AP179" s="3" t="n"/>
      <c r="AQ179" s="3" t="n"/>
      <c r="AR179" s="3" t="n"/>
      <c r="AS179" s="3" t="n"/>
    </row>
    <row r="180" ht="20" customHeight="1">
      <c r="A180" s="2" t="n"/>
      <c r="B180" s="2" t="n"/>
      <c r="C180" s="2" t="n"/>
      <c r="D180" s="2" t="n"/>
      <c r="E180" s="53" t="str">
        <f>IF(A180="","",IF(OR(AJ180="EXCLUDE",COUNTIF(AD180:AH180,"LOW")&gt;0),"EXCLUDE",IF(OR(AJ180&lt;&gt;"INCLUDE",F180&lt;&gt;"SUCCESS",D180&lt;&gt;"STORED",U180="",AP180="",AQ180="",AQ180="UNVERIFIED",AND(AP180="OFFICIAL_WEBSITE",Q180=""),AND(OR(AA180="Equipment manual / OEM instruction",AB180="Asset-specific normative"),OR(Z180&lt;&gt;"Manufacturer / supplier",AS180="",AC180=""))),"PENDING",IF(COUNTIF(AD180:AH180,"HIGH")=5,"INCLUDE","PENDING"))))</f>
        <v/>
      </c>
      <c r="F180" s="2" t="n"/>
      <c r="G180" s="81" t="n"/>
      <c r="H180" s="81" t="n"/>
      <c r="I180" s="2" t="n"/>
      <c r="J180" s="2" t="n"/>
      <c r="K180" s="75" t="str">
        <f>IF(A180="","",IF(J180="AUTO",H180,IF(J180="MANUAL",AK180,"")))</f>
        <v/>
      </c>
      <c r="L180" s="2" t="n"/>
      <c r="M180" s="2" t="n"/>
      <c r="N180" s="53" t="str">
        <f>IF(A180="","",IF(COUNTIFS('Human Operation Desktop'!$A$3:$A$502,A180,'Human Operation Desktop'!$I$3:$I$502,"&lt;&gt;APPLIED",'Human Operation Desktop'!$I$3:$I$502,"&lt;&gt;REJECTED")&gt;0,"YES","NO"))</f>
        <v/>
      </c>
      <c r="O180" s="2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76" t="n"/>
      <c r="AL180" s="3" t="n"/>
      <c r="AM180" s="3" t="n"/>
      <c r="AN180" s="3" t="n"/>
      <c r="AO180" s="3" t="n"/>
      <c r="AP180" s="3" t="n"/>
      <c r="AQ180" s="3" t="n"/>
      <c r="AR180" s="3" t="n"/>
      <c r="AS180" s="3" t="n"/>
    </row>
    <row r="181" ht="20" customHeight="1">
      <c r="A181" s="2" t="n"/>
      <c r="B181" s="2" t="n"/>
      <c r="C181" s="2" t="n"/>
      <c r="D181" s="2" t="n"/>
      <c r="E181" s="56" t="str">
        <f>IF(A181="","",IF(OR(AJ181="EXCLUDE",COUNTIF(AD181:AH181,"LOW")&gt;0),"EXCLUDE",IF(OR(AJ181&lt;&gt;"INCLUDE",F181&lt;&gt;"SUCCESS",D181&lt;&gt;"STORED",U181="",AP181="",AQ181="",AQ181="UNVERIFIED",AND(AP181="OFFICIAL_WEBSITE",Q181=""),AND(OR(AA181="Equipment manual / OEM instruction",AB181="Asset-specific normative"),OR(Z181&lt;&gt;"Manufacturer / supplier",AS181="",AC181=""))),"PENDING",IF(COUNTIF(AD181:AH181,"HIGH")=5,"INCLUDE","PENDING"))))</f>
        <v/>
      </c>
      <c r="F181" s="2" t="n"/>
      <c r="G181" s="81" t="n"/>
      <c r="H181" s="81" t="n"/>
      <c r="I181" s="2" t="n"/>
      <c r="J181" s="2" t="n"/>
      <c r="K181" s="73" t="str">
        <f>IF(A181="","",IF(J181="AUTO",H181,IF(J181="MANUAL",AK181,"")))</f>
        <v/>
      </c>
      <c r="L181" s="2" t="n"/>
      <c r="M181" s="2" t="n"/>
      <c r="N181" s="56" t="str">
        <f>IF(A181="","",IF(COUNTIFS('Human Operation Desktop'!$A$3:$A$502,A181,'Human Operation Desktop'!$I$3:$I$502,"&lt;&gt;APPLIED",'Human Operation Desktop'!$I$3:$I$502,"&lt;&gt;REJECTED")&gt;0,"YES","NO"))</f>
        <v/>
      </c>
      <c r="O181" s="2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76" t="n"/>
      <c r="AL181" s="3" t="n"/>
      <c r="AM181" s="3" t="n"/>
      <c r="AN181" s="3" t="n"/>
      <c r="AO181" s="3" t="n"/>
      <c r="AP181" s="3" t="n"/>
      <c r="AQ181" s="3" t="n"/>
      <c r="AR181" s="3" t="n"/>
      <c r="AS181" s="3" t="n"/>
    </row>
    <row r="182" ht="20" customHeight="1">
      <c r="A182" s="2" t="n"/>
      <c r="B182" s="2" t="n"/>
      <c r="C182" s="2" t="n"/>
      <c r="D182" s="2" t="n"/>
      <c r="E182" s="53" t="str">
        <f>IF(A182="","",IF(OR(AJ182="EXCLUDE",COUNTIF(AD182:AH182,"LOW")&gt;0),"EXCLUDE",IF(OR(AJ182&lt;&gt;"INCLUDE",F182&lt;&gt;"SUCCESS",D182&lt;&gt;"STORED",U182="",AP182="",AQ182="",AQ182="UNVERIFIED",AND(AP182="OFFICIAL_WEBSITE",Q182=""),AND(OR(AA182="Equipment manual / OEM instruction",AB182="Asset-specific normative"),OR(Z182&lt;&gt;"Manufacturer / supplier",AS182="",AC182=""))),"PENDING",IF(COUNTIF(AD182:AH182,"HIGH")=5,"INCLUDE","PENDING"))))</f>
        <v/>
      </c>
      <c r="F182" s="2" t="n"/>
      <c r="G182" s="81" t="n"/>
      <c r="H182" s="81" t="n"/>
      <c r="I182" s="2" t="n"/>
      <c r="J182" s="2" t="n"/>
      <c r="K182" s="75" t="str">
        <f>IF(A182="","",IF(J182="AUTO",H182,IF(J182="MANUAL",AK182,"")))</f>
        <v/>
      </c>
      <c r="L182" s="2" t="n"/>
      <c r="M182" s="2" t="n"/>
      <c r="N182" s="53" t="str">
        <f>IF(A182="","",IF(COUNTIFS('Human Operation Desktop'!$A$3:$A$502,A182,'Human Operation Desktop'!$I$3:$I$502,"&lt;&gt;APPLIED",'Human Operation Desktop'!$I$3:$I$502,"&lt;&gt;REJECTED")&gt;0,"YES","NO"))</f>
        <v/>
      </c>
      <c r="O182" s="2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76" t="n"/>
      <c r="AL182" s="3" t="n"/>
      <c r="AM182" s="3" t="n"/>
      <c r="AN182" s="3" t="n"/>
      <c r="AO182" s="3" t="n"/>
      <c r="AP182" s="3" t="n"/>
      <c r="AQ182" s="3" t="n"/>
      <c r="AR182" s="3" t="n"/>
      <c r="AS182" s="3" t="n"/>
    </row>
    <row r="183" ht="20" customHeight="1">
      <c r="A183" s="2" t="n"/>
      <c r="B183" s="2" t="n"/>
      <c r="C183" s="2" t="n"/>
      <c r="D183" s="2" t="n"/>
      <c r="E183" s="56" t="str">
        <f>IF(A183="","",IF(OR(AJ183="EXCLUDE",COUNTIF(AD183:AH183,"LOW")&gt;0),"EXCLUDE",IF(OR(AJ183&lt;&gt;"INCLUDE",F183&lt;&gt;"SUCCESS",D183&lt;&gt;"STORED",U183="",AP183="",AQ183="",AQ183="UNVERIFIED",AND(AP183="OFFICIAL_WEBSITE",Q183=""),AND(OR(AA183="Equipment manual / OEM instruction",AB183="Asset-specific normative"),OR(Z183&lt;&gt;"Manufacturer / supplier",AS183="",AC183=""))),"PENDING",IF(COUNTIF(AD183:AH183,"HIGH")=5,"INCLUDE","PENDING"))))</f>
        <v/>
      </c>
      <c r="F183" s="2" t="n"/>
      <c r="G183" s="81" t="n"/>
      <c r="H183" s="81" t="n"/>
      <c r="I183" s="2" t="n"/>
      <c r="J183" s="2" t="n"/>
      <c r="K183" s="73" t="str">
        <f>IF(A183="","",IF(J183="AUTO",H183,IF(J183="MANUAL",AK183,"")))</f>
        <v/>
      </c>
      <c r="L183" s="2" t="n"/>
      <c r="M183" s="2" t="n"/>
      <c r="N183" s="56" t="str">
        <f>IF(A183="","",IF(COUNTIFS('Human Operation Desktop'!$A$3:$A$502,A183,'Human Operation Desktop'!$I$3:$I$502,"&lt;&gt;APPLIED",'Human Operation Desktop'!$I$3:$I$502,"&lt;&gt;REJECTED")&gt;0,"YES","NO"))</f>
        <v/>
      </c>
      <c r="O183" s="2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76" t="n"/>
      <c r="AL183" s="3" t="n"/>
      <c r="AM183" s="3" t="n"/>
      <c r="AN183" s="3" t="n"/>
      <c r="AO183" s="3" t="n"/>
      <c r="AP183" s="3" t="n"/>
      <c r="AQ183" s="3" t="n"/>
      <c r="AR183" s="3" t="n"/>
      <c r="AS183" s="3" t="n"/>
    </row>
    <row r="184" ht="20" customHeight="1">
      <c r="A184" s="2" t="n"/>
      <c r="B184" s="2" t="n"/>
      <c r="C184" s="2" t="n"/>
      <c r="D184" s="2" t="n"/>
      <c r="E184" s="53" t="str">
        <f>IF(A184="","",IF(OR(AJ184="EXCLUDE",COUNTIF(AD184:AH184,"LOW")&gt;0),"EXCLUDE",IF(OR(AJ184&lt;&gt;"INCLUDE",F184&lt;&gt;"SUCCESS",D184&lt;&gt;"STORED",U184="",AP184="",AQ184="",AQ184="UNVERIFIED",AND(AP184="OFFICIAL_WEBSITE",Q184=""),AND(OR(AA184="Equipment manual / OEM instruction",AB184="Asset-specific normative"),OR(Z184&lt;&gt;"Manufacturer / supplier",AS184="",AC184=""))),"PENDING",IF(COUNTIF(AD184:AH184,"HIGH")=5,"INCLUDE","PENDING"))))</f>
        <v/>
      </c>
      <c r="F184" s="2" t="n"/>
      <c r="G184" s="81" t="n"/>
      <c r="H184" s="81" t="n"/>
      <c r="I184" s="2" t="n"/>
      <c r="J184" s="2" t="n"/>
      <c r="K184" s="75" t="str">
        <f>IF(A184="","",IF(J184="AUTO",H184,IF(J184="MANUAL",AK184,"")))</f>
        <v/>
      </c>
      <c r="L184" s="2" t="n"/>
      <c r="M184" s="2" t="n"/>
      <c r="N184" s="53" t="str">
        <f>IF(A184="","",IF(COUNTIFS('Human Operation Desktop'!$A$3:$A$502,A184,'Human Operation Desktop'!$I$3:$I$502,"&lt;&gt;APPLIED",'Human Operation Desktop'!$I$3:$I$502,"&lt;&gt;REJECTED")&gt;0,"YES","NO"))</f>
        <v/>
      </c>
      <c r="O184" s="2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76" t="n"/>
      <c r="AL184" s="3" t="n"/>
      <c r="AM184" s="3" t="n"/>
      <c r="AN184" s="3" t="n"/>
      <c r="AO184" s="3" t="n"/>
      <c r="AP184" s="3" t="n"/>
      <c r="AQ184" s="3" t="n"/>
      <c r="AR184" s="3" t="n"/>
      <c r="AS184" s="3" t="n"/>
    </row>
    <row r="185" ht="20" customHeight="1">
      <c r="A185" s="2" t="n"/>
      <c r="B185" s="2" t="n"/>
      <c r="C185" s="2" t="n"/>
      <c r="D185" s="2" t="n"/>
      <c r="E185" s="56" t="str">
        <f>IF(A185="","",IF(OR(AJ185="EXCLUDE",COUNTIF(AD185:AH185,"LOW")&gt;0),"EXCLUDE",IF(OR(AJ185&lt;&gt;"INCLUDE",F185&lt;&gt;"SUCCESS",D185&lt;&gt;"STORED",U185="",AP185="",AQ185="",AQ185="UNVERIFIED",AND(AP185="OFFICIAL_WEBSITE",Q185=""),AND(OR(AA185="Equipment manual / OEM instruction",AB185="Asset-specific normative"),OR(Z185&lt;&gt;"Manufacturer / supplier",AS185="",AC185=""))),"PENDING",IF(COUNTIF(AD185:AH185,"HIGH")=5,"INCLUDE","PENDING"))))</f>
        <v/>
      </c>
      <c r="F185" s="2" t="n"/>
      <c r="G185" s="81" t="n"/>
      <c r="H185" s="81" t="n"/>
      <c r="I185" s="2" t="n"/>
      <c r="J185" s="2" t="n"/>
      <c r="K185" s="73" t="str">
        <f>IF(A185="","",IF(J185="AUTO",H185,IF(J185="MANUAL",AK185,"")))</f>
        <v/>
      </c>
      <c r="L185" s="2" t="n"/>
      <c r="M185" s="2" t="n"/>
      <c r="N185" s="56" t="str">
        <f>IF(A185="","",IF(COUNTIFS('Human Operation Desktop'!$A$3:$A$502,A185,'Human Operation Desktop'!$I$3:$I$502,"&lt;&gt;APPLIED",'Human Operation Desktop'!$I$3:$I$502,"&lt;&gt;REJECTED")&gt;0,"YES","NO"))</f>
        <v/>
      </c>
      <c r="O185" s="2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76" t="n"/>
      <c r="AL185" s="3" t="n"/>
      <c r="AM185" s="3" t="n"/>
      <c r="AN185" s="3" t="n"/>
      <c r="AO185" s="3" t="n"/>
      <c r="AP185" s="3" t="n"/>
      <c r="AQ185" s="3" t="n"/>
      <c r="AR185" s="3" t="n"/>
      <c r="AS185" s="3" t="n"/>
    </row>
    <row r="186" ht="20" customHeight="1">
      <c r="A186" s="2" t="n"/>
      <c r="B186" s="2" t="n"/>
      <c r="C186" s="2" t="n"/>
      <c r="D186" s="2" t="n"/>
      <c r="E186" s="53" t="str">
        <f>IF(A186="","",IF(OR(AJ186="EXCLUDE",COUNTIF(AD186:AH186,"LOW")&gt;0),"EXCLUDE",IF(OR(AJ186&lt;&gt;"INCLUDE",F186&lt;&gt;"SUCCESS",D186&lt;&gt;"STORED",U186="",AP186="",AQ186="",AQ186="UNVERIFIED",AND(AP186="OFFICIAL_WEBSITE",Q186=""),AND(OR(AA186="Equipment manual / OEM instruction",AB186="Asset-specific normative"),OR(Z186&lt;&gt;"Manufacturer / supplier",AS186="",AC186=""))),"PENDING",IF(COUNTIF(AD186:AH186,"HIGH")=5,"INCLUDE","PENDING"))))</f>
        <v/>
      </c>
      <c r="F186" s="2" t="n"/>
      <c r="G186" s="81" t="n"/>
      <c r="H186" s="81" t="n"/>
      <c r="I186" s="2" t="n"/>
      <c r="J186" s="2" t="n"/>
      <c r="K186" s="75" t="str">
        <f>IF(A186="","",IF(J186="AUTO",H186,IF(J186="MANUAL",AK186,"")))</f>
        <v/>
      </c>
      <c r="L186" s="2" t="n"/>
      <c r="M186" s="2" t="n"/>
      <c r="N186" s="53" t="str">
        <f>IF(A186="","",IF(COUNTIFS('Human Operation Desktop'!$A$3:$A$502,A186,'Human Operation Desktop'!$I$3:$I$502,"&lt;&gt;APPLIED",'Human Operation Desktop'!$I$3:$I$502,"&lt;&gt;REJECTED")&gt;0,"YES","NO"))</f>
        <v/>
      </c>
      <c r="O186" s="2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76" t="n"/>
      <c r="AL186" s="3" t="n"/>
      <c r="AM186" s="3" t="n"/>
      <c r="AN186" s="3" t="n"/>
      <c r="AO186" s="3" t="n"/>
      <c r="AP186" s="3" t="n"/>
      <c r="AQ186" s="3" t="n"/>
      <c r="AR186" s="3" t="n"/>
      <c r="AS186" s="3" t="n"/>
    </row>
    <row r="187" ht="20" customHeight="1">
      <c r="A187" s="2" t="n"/>
      <c r="B187" s="2" t="n"/>
      <c r="C187" s="2" t="n"/>
      <c r="D187" s="2" t="n"/>
      <c r="E187" s="56" t="str">
        <f>IF(A187="","",IF(OR(AJ187="EXCLUDE",COUNTIF(AD187:AH187,"LOW")&gt;0),"EXCLUDE",IF(OR(AJ187&lt;&gt;"INCLUDE",F187&lt;&gt;"SUCCESS",D187&lt;&gt;"STORED",U187="",AP187="",AQ187="",AQ187="UNVERIFIED",AND(AP187="OFFICIAL_WEBSITE",Q187=""),AND(OR(AA187="Equipment manual / OEM instruction",AB187="Asset-specific normative"),OR(Z187&lt;&gt;"Manufacturer / supplier",AS187="",AC187=""))),"PENDING",IF(COUNTIF(AD187:AH187,"HIGH")=5,"INCLUDE","PENDING"))))</f>
        <v/>
      </c>
      <c r="F187" s="2" t="n"/>
      <c r="G187" s="81" t="n"/>
      <c r="H187" s="81" t="n"/>
      <c r="I187" s="2" t="n"/>
      <c r="J187" s="2" t="n"/>
      <c r="K187" s="73" t="str">
        <f>IF(A187="","",IF(J187="AUTO",H187,IF(J187="MANUAL",AK187,"")))</f>
        <v/>
      </c>
      <c r="L187" s="2" t="n"/>
      <c r="M187" s="2" t="n"/>
      <c r="N187" s="56" t="str">
        <f>IF(A187="","",IF(COUNTIFS('Human Operation Desktop'!$A$3:$A$502,A187,'Human Operation Desktop'!$I$3:$I$502,"&lt;&gt;APPLIED",'Human Operation Desktop'!$I$3:$I$502,"&lt;&gt;REJECTED")&gt;0,"YES","NO"))</f>
        <v/>
      </c>
      <c r="O187" s="2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76" t="n"/>
      <c r="AL187" s="3" t="n"/>
      <c r="AM187" s="3" t="n"/>
      <c r="AN187" s="3" t="n"/>
      <c r="AO187" s="3" t="n"/>
      <c r="AP187" s="3" t="n"/>
      <c r="AQ187" s="3" t="n"/>
      <c r="AR187" s="3" t="n"/>
      <c r="AS187" s="3" t="n"/>
    </row>
    <row r="188" ht="20" customHeight="1">
      <c r="A188" s="2" t="n"/>
      <c r="B188" s="2" t="n"/>
      <c r="C188" s="2" t="n"/>
      <c r="D188" s="2" t="n"/>
      <c r="E188" s="53" t="str">
        <f>IF(A188="","",IF(OR(AJ188="EXCLUDE",COUNTIF(AD188:AH188,"LOW")&gt;0),"EXCLUDE",IF(OR(AJ188&lt;&gt;"INCLUDE",F188&lt;&gt;"SUCCESS",D188&lt;&gt;"STORED",U188="",AP188="",AQ188="",AQ188="UNVERIFIED",AND(AP188="OFFICIAL_WEBSITE",Q188=""),AND(OR(AA188="Equipment manual / OEM instruction",AB188="Asset-specific normative"),OR(Z188&lt;&gt;"Manufacturer / supplier",AS188="",AC188=""))),"PENDING",IF(COUNTIF(AD188:AH188,"HIGH")=5,"INCLUDE","PENDING"))))</f>
        <v/>
      </c>
      <c r="F188" s="2" t="n"/>
      <c r="G188" s="81" t="n"/>
      <c r="H188" s="81" t="n"/>
      <c r="I188" s="2" t="n"/>
      <c r="J188" s="2" t="n"/>
      <c r="K188" s="75" t="str">
        <f>IF(A188="","",IF(J188="AUTO",H188,IF(J188="MANUAL",AK188,"")))</f>
        <v/>
      </c>
      <c r="L188" s="2" t="n"/>
      <c r="M188" s="2" t="n"/>
      <c r="N188" s="53" t="str">
        <f>IF(A188="","",IF(COUNTIFS('Human Operation Desktop'!$A$3:$A$502,A188,'Human Operation Desktop'!$I$3:$I$502,"&lt;&gt;APPLIED",'Human Operation Desktop'!$I$3:$I$502,"&lt;&gt;REJECTED")&gt;0,"YES","NO"))</f>
        <v/>
      </c>
      <c r="O188" s="2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76" t="n"/>
      <c r="AL188" s="3" t="n"/>
      <c r="AM188" s="3" t="n"/>
      <c r="AN188" s="3" t="n"/>
      <c r="AO188" s="3" t="n"/>
      <c r="AP188" s="3" t="n"/>
      <c r="AQ188" s="3" t="n"/>
      <c r="AR188" s="3" t="n"/>
      <c r="AS188" s="3" t="n"/>
    </row>
    <row r="189" ht="20" customHeight="1">
      <c r="A189" s="2" t="n"/>
      <c r="B189" s="2" t="n"/>
      <c r="C189" s="2" t="n"/>
      <c r="D189" s="2" t="n"/>
      <c r="E189" s="56" t="str">
        <f>IF(A189="","",IF(OR(AJ189="EXCLUDE",COUNTIF(AD189:AH189,"LOW")&gt;0),"EXCLUDE",IF(OR(AJ189&lt;&gt;"INCLUDE",F189&lt;&gt;"SUCCESS",D189&lt;&gt;"STORED",U189="",AP189="",AQ189="",AQ189="UNVERIFIED",AND(AP189="OFFICIAL_WEBSITE",Q189=""),AND(OR(AA189="Equipment manual / OEM instruction",AB189="Asset-specific normative"),OR(Z189&lt;&gt;"Manufacturer / supplier",AS189="",AC189=""))),"PENDING",IF(COUNTIF(AD189:AH189,"HIGH")=5,"INCLUDE","PENDING"))))</f>
        <v/>
      </c>
      <c r="F189" s="2" t="n"/>
      <c r="G189" s="81" t="n"/>
      <c r="H189" s="81" t="n"/>
      <c r="I189" s="2" t="n"/>
      <c r="J189" s="2" t="n"/>
      <c r="K189" s="73" t="str">
        <f>IF(A189="","",IF(J189="AUTO",H189,IF(J189="MANUAL",AK189,"")))</f>
        <v/>
      </c>
      <c r="L189" s="2" t="n"/>
      <c r="M189" s="2" t="n"/>
      <c r="N189" s="56" t="str">
        <f>IF(A189="","",IF(COUNTIFS('Human Operation Desktop'!$A$3:$A$502,A189,'Human Operation Desktop'!$I$3:$I$502,"&lt;&gt;APPLIED",'Human Operation Desktop'!$I$3:$I$502,"&lt;&gt;REJECTED")&gt;0,"YES","NO"))</f>
        <v/>
      </c>
      <c r="O189" s="2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76" t="n"/>
      <c r="AL189" s="3" t="n"/>
      <c r="AM189" s="3" t="n"/>
      <c r="AN189" s="3" t="n"/>
      <c r="AO189" s="3" t="n"/>
      <c r="AP189" s="3" t="n"/>
      <c r="AQ189" s="3" t="n"/>
      <c r="AR189" s="3" t="n"/>
      <c r="AS189" s="3" t="n"/>
    </row>
    <row r="190" ht="20" customHeight="1">
      <c r="A190" s="2" t="n"/>
      <c r="B190" s="2" t="n"/>
      <c r="C190" s="2" t="n"/>
      <c r="D190" s="2" t="n"/>
      <c r="E190" s="53" t="str">
        <f>IF(A190="","",IF(OR(AJ190="EXCLUDE",COUNTIF(AD190:AH190,"LOW")&gt;0),"EXCLUDE",IF(OR(AJ190&lt;&gt;"INCLUDE",F190&lt;&gt;"SUCCESS",D190&lt;&gt;"STORED",U190="",AP190="",AQ190="",AQ190="UNVERIFIED",AND(AP190="OFFICIAL_WEBSITE",Q190=""),AND(OR(AA190="Equipment manual / OEM instruction",AB190="Asset-specific normative"),OR(Z190&lt;&gt;"Manufacturer / supplier",AS190="",AC190=""))),"PENDING",IF(COUNTIF(AD190:AH190,"HIGH")=5,"INCLUDE","PENDING"))))</f>
        <v/>
      </c>
      <c r="F190" s="2" t="n"/>
      <c r="G190" s="81" t="n"/>
      <c r="H190" s="81" t="n"/>
      <c r="I190" s="2" t="n"/>
      <c r="J190" s="2" t="n"/>
      <c r="K190" s="75" t="str">
        <f>IF(A190="","",IF(J190="AUTO",H190,IF(J190="MANUAL",AK190,"")))</f>
        <v/>
      </c>
      <c r="L190" s="2" t="n"/>
      <c r="M190" s="2" t="n"/>
      <c r="N190" s="53" t="str">
        <f>IF(A190="","",IF(COUNTIFS('Human Operation Desktop'!$A$3:$A$502,A190,'Human Operation Desktop'!$I$3:$I$502,"&lt;&gt;APPLIED",'Human Operation Desktop'!$I$3:$I$502,"&lt;&gt;REJECTED")&gt;0,"YES","NO"))</f>
        <v/>
      </c>
      <c r="O190" s="2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76" t="n"/>
      <c r="AL190" s="3" t="n"/>
      <c r="AM190" s="3" t="n"/>
      <c r="AN190" s="3" t="n"/>
      <c r="AO190" s="3" t="n"/>
      <c r="AP190" s="3" t="n"/>
      <c r="AQ190" s="3" t="n"/>
      <c r="AR190" s="3" t="n"/>
      <c r="AS190" s="3" t="n"/>
    </row>
    <row r="191" ht="20" customHeight="1">
      <c r="A191" s="2" t="n"/>
      <c r="B191" s="2" t="n"/>
      <c r="C191" s="2" t="n"/>
      <c r="D191" s="2" t="n"/>
      <c r="E191" s="56" t="str">
        <f>IF(A191="","",IF(OR(AJ191="EXCLUDE",COUNTIF(AD191:AH191,"LOW")&gt;0),"EXCLUDE",IF(OR(AJ191&lt;&gt;"INCLUDE",F191&lt;&gt;"SUCCESS",D191&lt;&gt;"STORED",U191="",AP191="",AQ191="",AQ191="UNVERIFIED",AND(AP191="OFFICIAL_WEBSITE",Q191=""),AND(OR(AA191="Equipment manual / OEM instruction",AB191="Asset-specific normative"),OR(Z191&lt;&gt;"Manufacturer / supplier",AS191="",AC191=""))),"PENDING",IF(COUNTIF(AD191:AH191,"HIGH")=5,"INCLUDE","PENDING"))))</f>
        <v/>
      </c>
      <c r="F191" s="2" t="n"/>
      <c r="G191" s="81" t="n"/>
      <c r="H191" s="81" t="n"/>
      <c r="I191" s="2" t="n"/>
      <c r="J191" s="2" t="n"/>
      <c r="K191" s="73" t="str">
        <f>IF(A191="","",IF(J191="AUTO",H191,IF(J191="MANUAL",AK191,"")))</f>
        <v/>
      </c>
      <c r="L191" s="2" t="n"/>
      <c r="M191" s="2" t="n"/>
      <c r="N191" s="56" t="str">
        <f>IF(A191="","",IF(COUNTIFS('Human Operation Desktop'!$A$3:$A$502,A191,'Human Operation Desktop'!$I$3:$I$502,"&lt;&gt;APPLIED",'Human Operation Desktop'!$I$3:$I$502,"&lt;&gt;REJECTED")&gt;0,"YES","NO"))</f>
        <v/>
      </c>
      <c r="O191" s="2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76" t="n"/>
      <c r="AL191" s="3" t="n"/>
      <c r="AM191" s="3" t="n"/>
      <c r="AN191" s="3" t="n"/>
      <c r="AO191" s="3" t="n"/>
      <c r="AP191" s="3" t="n"/>
      <c r="AQ191" s="3" t="n"/>
      <c r="AR191" s="3" t="n"/>
      <c r="AS191" s="3" t="n"/>
    </row>
    <row r="192" ht="20" customHeight="1">
      <c r="A192" s="2" t="n"/>
      <c r="B192" s="2" t="n"/>
      <c r="C192" s="2" t="n"/>
      <c r="D192" s="2" t="n"/>
      <c r="E192" s="53" t="str">
        <f>IF(A192="","",IF(OR(AJ192="EXCLUDE",COUNTIF(AD192:AH192,"LOW")&gt;0),"EXCLUDE",IF(OR(AJ192&lt;&gt;"INCLUDE",F192&lt;&gt;"SUCCESS",D192&lt;&gt;"STORED",U192="",AP192="",AQ192="",AQ192="UNVERIFIED",AND(AP192="OFFICIAL_WEBSITE",Q192=""),AND(OR(AA192="Equipment manual / OEM instruction",AB192="Asset-specific normative"),OR(Z192&lt;&gt;"Manufacturer / supplier",AS192="",AC192=""))),"PENDING",IF(COUNTIF(AD192:AH192,"HIGH")=5,"INCLUDE","PENDING"))))</f>
        <v/>
      </c>
      <c r="F192" s="2" t="n"/>
      <c r="G192" s="81" t="n"/>
      <c r="H192" s="81" t="n"/>
      <c r="I192" s="2" t="n"/>
      <c r="J192" s="2" t="n"/>
      <c r="K192" s="75" t="str">
        <f>IF(A192="","",IF(J192="AUTO",H192,IF(J192="MANUAL",AK192,"")))</f>
        <v/>
      </c>
      <c r="L192" s="2" t="n"/>
      <c r="M192" s="2" t="n"/>
      <c r="N192" s="53" t="str">
        <f>IF(A192="","",IF(COUNTIFS('Human Operation Desktop'!$A$3:$A$502,A192,'Human Operation Desktop'!$I$3:$I$502,"&lt;&gt;APPLIED",'Human Operation Desktop'!$I$3:$I$502,"&lt;&gt;REJECTED")&gt;0,"YES","NO"))</f>
        <v/>
      </c>
      <c r="O192" s="2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76" t="n"/>
      <c r="AL192" s="3" t="n"/>
      <c r="AM192" s="3" t="n"/>
      <c r="AN192" s="3" t="n"/>
      <c r="AO192" s="3" t="n"/>
      <c r="AP192" s="3" t="n"/>
      <c r="AQ192" s="3" t="n"/>
      <c r="AR192" s="3" t="n"/>
      <c r="AS192" s="3" t="n"/>
    </row>
    <row r="193" ht="20" customHeight="1">
      <c r="A193" s="2" t="n"/>
      <c r="B193" s="2" t="n"/>
      <c r="C193" s="2" t="n"/>
      <c r="D193" s="2" t="n"/>
      <c r="E193" s="56" t="str">
        <f>IF(A193="","",IF(OR(AJ193="EXCLUDE",COUNTIF(AD193:AH193,"LOW")&gt;0),"EXCLUDE",IF(OR(AJ193&lt;&gt;"INCLUDE",F193&lt;&gt;"SUCCESS",D193&lt;&gt;"STORED",U193="",AP193="",AQ193="",AQ193="UNVERIFIED",AND(AP193="OFFICIAL_WEBSITE",Q193=""),AND(OR(AA193="Equipment manual / OEM instruction",AB193="Asset-specific normative"),OR(Z193&lt;&gt;"Manufacturer / supplier",AS193="",AC193=""))),"PENDING",IF(COUNTIF(AD193:AH193,"HIGH")=5,"INCLUDE","PENDING"))))</f>
        <v/>
      </c>
      <c r="F193" s="2" t="n"/>
      <c r="G193" s="81" t="n"/>
      <c r="H193" s="81" t="n"/>
      <c r="I193" s="2" t="n"/>
      <c r="J193" s="2" t="n"/>
      <c r="K193" s="73" t="str">
        <f>IF(A193="","",IF(J193="AUTO",H193,IF(J193="MANUAL",AK193,"")))</f>
        <v/>
      </c>
      <c r="L193" s="2" t="n"/>
      <c r="M193" s="2" t="n"/>
      <c r="N193" s="56" t="str">
        <f>IF(A193="","",IF(COUNTIFS('Human Operation Desktop'!$A$3:$A$502,A193,'Human Operation Desktop'!$I$3:$I$502,"&lt;&gt;APPLIED",'Human Operation Desktop'!$I$3:$I$502,"&lt;&gt;REJECTED")&gt;0,"YES","NO"))</f>
        <v/>
      </c>
      <c r="O193" s="2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76" t="n"/>
      <c r="AL193" s="3" t="n"/>
      <c r="AM193" s="3" t="n"/>
      <c r="AN193" s="3" t="n"/>
      <c r="AO193" s="3" t="n"/>
      <c r="AP193" s="3" t="n"/>
      <c r="AQ193" s="3" t="n"/>
      <c r="AR193" s="3" t="n"/>
      <c r="AS193" s="3" t="n"/>
    </row>
    <row r="194" ht="20" customHeight="1">
      <c r="A194" s="2" t="n"/>
      <c r="B194" s="2" t="n"/>
      <c r="C194" s="2" t="n"/>
      <c r="D194" s="2" t="n"/>
      <c r="E194" s="53" t="str">
        <f>IF(A194="","",IF(OR(AJ194="EXCLUDE",COUNTIF(AD194:AH194,"LOW")&gt;0),"EXCLUDE",IF(OR(AJ194&lt;&gt;"INCLUDE",F194&lt;&gt;"SUCCESS",D194&lt;&gt;"STORED",U194="",AP194="",AQ194="",AQ194="UNVERIFIED",AND(AP194="OFFICIAL_WEBSITE",Q194=""),AND(OR(AA194="Equipment manual / OEM instruction",AB194="Asset-specific normative"),OR(Z194&lt;&gt;"Manufacturer / supplier",AS194="",AC194=""))),"PENDING",IF(COUNTIF(AD194:AH194,"HIGH")=5,"INCLUDE","PENDING"))))</f>
        <v/>
      </c>
      <c r="F194" s="2" t="n"/>
      <c r="G194" s="81" t="n"/>
      <c r="H194" s="81" t="n"/>
      <c r="I194" s="2" t="n"/>
      <c r="J194" s="2" t="n"/>
      <c r="K194" s="75" t="str">
        <f>IF(A194="","",IF(J194="AUTO",H194,IF(J194="MANUAL",AK194,"")))</f>
        <v/>
      </c>
      <c r="L194" s="2" t="n"/>
      <c r="M194" s="2" t="n"/>
      <c r="N194" s="53" t="str">
        <f>IF(A194="","",IF(COUNTIFS('Human Operation Desktop'!$A$3:$A$502,A194,'Human Operation Desktop'!$I$3:$I$502,"&lt;&gt;APPLIED",'Human Operation Desktop'!$I$3:$I$502,"&lt;&gt;REJECTED")&gt;0,"YES","NO"))</f>
        <v/>
      </c>
      <c r="O194" s="2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76" t="n"/>
      <c r="AL194" s="3" t="n"/>
      <c r="AM194" s="3" t="n"/>
      <c r="AN194" s="3" t="n"/>
      <c r="AO194" s="3" t="n"/>
      <c r="AP194" s="3" t="n"/>
      <c r="AQ194" s="3" t="n"/>
      <c r="AR194" s="3" t="n"/>
      <c r="AS194" s="3" t="n"/>
    </row>
    <row r="195" ht="20" customHeight="1">
      <c r="A195" s="2" t="n"/>
      <c r="B195" s="2" t="n"/>
      <c r="C195" s="2" t="n"/>
      <c r="D195" s="2" t="n"/>
      <c r="E195" s="56" t="str">
        <f>IF(A195="","",IF(OR(AJ195="EXCLUDE",COUNTIF(AD195:AH195,"LOW")&gt;0),"EXCLUDE",IF(OR(AJ195&lt;&gt;"INCLUDE",F195&lt;&gt;"SUCCESS",D195&lt;&gt;"STORED",U195="",AP195="",AQ195="",AQ195="UNVERIFIED",AND(AP195="OFFICIAL_WEBSITE",Q195=""),AND(OR(AA195="Equipment manual / OEM instruction",AB195="Asset-specific normative"),OR(Z195&lt;&gt;"Manufacturer / supplier",AS195="",AC195=""))),"PENDING",IF(COUNTIF(AD195:AH195,"HIGH")=5,"INCLUDE","PENDING"))))</f>
        <v/>
      </c>
      <c r="F195" s="2" t="n"/>
      <c r="G195" s="81" t="n"/>
      <c r="H195" s="81" t="n"/>
      <c r="I195" s="2" t="n"/>
      <c r="J195" s="2" t="n"/>
      <c r="K195" s="73" t="str">
        <f>IF(A195="","",IF(J195="AUTO",H195,IF(J195="MANUAL",AK195,"")))</f>
        <v/>
      </c>
      <c r="L195" s="2" t="n"/>
      <c r="M195" s="2" t="n"/>
      <c r="N195" s="56" t="str">
        <f>IF(A195="","",IF(COUNTIFS('Human Operation Desktop'!$A$3:$A$502,A195,'Human Operation Desktop'!$I$3:$I$502,"&lt;&gt;APPLIED",'Human Operation Desktop'!$I$3:$I$502,"&lt;&gt;REJECTED")&gt;0,"YES","NO"))</f>
        <v/>
      </c>
      <c r="O195" s="2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76" t="n"/>
      <c r="AL195" s="3" t="n"/>
      <c r="AM195" s="3" t="n"/>
      <c r="AN195" s="3" t="n"/>
      <c r="AO195" s="3" t="n"/>
      <c r="AP195" s="3" t="n"/>
      <c r="AQ195" s="3" t="n"/>
      <c r="AR195" s="3" t="n"/>
      <c r="AS195" s="3" t="n"/>
    </row>
    <row r="196" ht="20" customHeight="1">
      <c r="A196" s="2" t="n"/>
      <c r="B196" s="2" t="n"/>
      <c r="C196" s="2" t="n"/>
      <c r="D196" s="2" t="n"/>
      <c r="E196" s="53" t="str">
        <f>IF(A196="","",IF(OR(AJ196="EXCLUDE",COUNTIF(AD196:AH196,"LOW")&gt;0),"EXCLUDE",IF(OR(AJ196&lt;&gt;"INCLUDE",F196&lt;&gt;"SUCCESS",D196&lt;&gt;"STORED",U196="",AP196="",AQ196="",AQ196="UNVERIFIED",AND(AP196="OFFICIAL_WEBSITE",Q196=""),AND(OR(AA196="Equipment manual / OEM instruction",AB196="Asset-specific normative"),OR(Z196&lt;&gt;"Manufacturer / supplier",AS196="",AC196=""))),"PENDING",IF(COUNTIF(AD196:AH196,"HIGH")=5,"INCLUDE","PENDING"))))</f>
        <v/>
      </c>
      <c r="F196" s="2" t="n"/>
      <c r="G196" s="81" t="n"/>
      <c r="H196" s="81" t="n"/>
      <c r="I196" s="2" t="n"/>
      <c r="J196" s="2" t="n"/>
      <c r="K196" s="75" t="str">
        <f>IF(A196="","",IF(J196="AUTO",H196,IF(J196="MANUAL",AK196,"")))</f>
        <v/>
      </c>
      <c r="L196" s="2" t="n"/>
      <c r="M196" s="2" t="n"/>
      <c r="N196" s="53" t="str">
        <f>IF(A196="","",IF(COUNTIFS('Human Operation Desktop'!$A$3:$A$502,A196,'Human Operation Desktop'!$I$3:$I$502,"&lt;&gt;APPLIED",'Human Operation Desktop'!$I$3:$I$502,"&lt;&gt;REJECTED")&gt;0,"YES","NO"))</f>
        <v/>
      </c>
      <c r="O196" s="2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76" t="n"/>
      <c r="AL196" s="3" t="n"/>
      <c r="AM196" s="3" t="n"/>
      <c r="AN196" s="3" t="n"/>
      <c r="AO196" s="3" t="n"/>
      <c r="AP196" s="3" t="n"/>
      <c r="AQ196" s="3" t="n"/>
      <c r="AR196" s="3" t="n"/>
      <c r="AS196" s="3" t="n"/>
    </row>
    <row r="197" ht="20" customHeight="1">
      <c r="A197" s="2" t="n"/>
      <c r="B197" s="2" t="n"/>
      <c r="C197" s="2" t="n"/>
      <c r="D197" s="2" t="n"/>
      <c r="E197" s="56" t="str">
        <f>IF(A197="","",IF(OR(AJ197="EXCLUDE",COUNTIF(AD197:AH197,"LOW")&gt;0),"EXCLUDE",IF(OR(AJ197&lt;&gt;"INCLUDE",F197&lt;&gt;"SUCCESS",D197&lt;&gt;"STORED",U197="",AP197="",AQ197="",AQ197="UNVERIFIED",AND(AP197="OFFICIAL_WEBSITE",Q197=""),AND(OR(AA197="Equipment manual / OEM instruction",AB197="Asset-specific normative"),OR(Z197&lt;&gt;"Manufacturer / supplier",AS197="",AC197=""))),"PENDING",IF(COUNTIF(AD197:AH197,"HIGH")=5,"INCLUDE","PENDING"))))</f>
        <v/>
      </c>
      <c r="F197" s="2" t="n"/>
      <c r="G197" s="81" t="n"/>
      <c r="H197" s="81" t="n"/>
      <c r="I197" s="2" t="n"/>
      <c r="J197" s="2" t="n"/>
      <c r="K197" s="73" t="str">
        <f>IF(A197="","",IF(J197="AUTO",H197,IF(J197="MANUAL",AK197,"")))</f>
        <v/>
      </c>
      <c r="L197" s="2" t="n"/>
      <c r="M197" s="2" t="n"/>
      <c r="N197" s="56" t="str">
        <f>IF(A197="","",IF(COUNTIFS('Human Operation Desktop'!$A$3:$A$502,A197,'Human Operation Desktop'!$I$3:$I$502,"&lt;&gt;APPLIED",'Human Operation Desktop'!$I$3:$I$502,"&lt;&gt;REJECTED")&gt;0,"YES","NO"))</f>
        <v/>
      </c>
      <c r="O197" s="2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76" t="n"/>
      <c r="AL197" s="3" t="n"/>
      <c r="AM197" s="3" t="n"/>
      <c r="AN197" s="3" t="n"/>
      <c r="AO197" s="3" t="n"/>
      <c r="AP197" s="3" t="n"/>
      <c r="AQ197" s="3" t="n"/>
      <c r="AR197" s="3" t="n"/>
      <c r="AS197" s="3" t="n"/>
    </row>
    <row r="198" ht="20" customHeight="1">
      <c r="A198" s="2" t="n"/>
      <c r="B198" s="2" t="n"/>
      <c r="C198" s="2" t="n"/>
      <c r="D198" s="2" t="n"/>
      <c r="E198" s="53" t="str">
        <f>IF(A198="","",IF(OR(AJ198="EXCLUDE",COUNTIF(AD198:AH198,"LOW")&gt;0),"EXCLUDE",IF(OR(AJ198&lt;&gt;"INCLUDE",F198&lt;&gt;"SUCCESS",D198&lt;&gt;"STORED",U198="",AP198="",AQ198="",AQ198="UNVERIFIED",AND(AP198="OFFICIAL_WEBSITE",Q198=""),AND(OR(AA198="Equipment manual / OEM instruction",AB198="Asset-specific normative"),OR(Z198&lt;&gt;"Manufacturer / supplier",AS198="",AC198=""))),"PENDING",IF(COUNTIF(AD198:AH198,"HIGH")=5,"INCLUDE","PENDING"))))</f>
        <v/>
      </c>
      <c r="F198" s="2" t="n"/>
      <c r="G198" s="81" t="n"/>
      <c r="H198" s="81" t="n"/>
      <c r="I198" s="2" t="n"/>
      <c r="J198" s="2" t="n"/>
      <c r="K198" s="75" t="str">
        <f>IF(A198="","",IF(J198="AUTO",H198,IF(J198="MANUAL",AK198,"")))</f>
        <v/>
      </c>
      <c r="L198" s="2" t="n"/>
      <c r="M198" s="2" t="n"/>
      <c r="N198" s="53" t="str">
        <f>IF(A198="","",IF(COUNTIFS('Human Operation Desktop'!$A$3:$A$502,A198,'Human Operation Desktop'!$I$3:$I$502,"&lt;&gt;APPLIED",'Human Operation Desktop'!$I$3:$I$502,"&lt;&gt;REJECTED")&gt;0,"YES","NO"))</f>
        <v/>
      </c>
      <c r="O198" s="2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76" t="n"/>
      <c r="AL198" s="3" t="n"/>
      <c r="AM198" s="3" t="n"/>
      <c r="AN198" s="3" t="n"/>
      <c r="AO198" s="3" t="n"/>
      <c r="AP198" s="3" t="n"/>
      <c r="AQ198" s="3" t="n"/>
      <c r="AR198" s="3" t="n"/>
      <c r="AS198" s="3" t="n"/>
    </row>
    <row r="199" ht="20" customHeight="1">
      <c r="A199" s="2" t="n"/>
      <c r="B199" s="2" t="n"/>
      <c r="C199" s="2" t="n"/>
      <c r="D199" s="2" t="n"/>
      <c r="E199" s="56" t="str">
        <f>IF(A199="","",IF(OR(AJ199="EXCLUDE",COUNTIF(AD199:AH199,"LOW")&gt;0),"EXCLUDE",IF(OR(AJ199&lt;&gt;"INCLUDE",F199&lt;&gt;"SUCCESS",D199&lt;&gt;"STORED",U199="",AP199="",AQ199="",AQ199="UNVERIFIED",AND(AP199="OFFICIAL_WEBSITE",Q199=""),AND(OR(AA199="Equipment manual / OEM instruction",AB199="Asset-specific normative"),OR(Z199&lt;&gt;"Manufacturer / supplier",AS199="",AC199=""))),"PENDING",IF(COUNTIF(AD199:AH199,"HIGH")=5,"INCLUDE","PENDING"))))</f>
        <v/>
      </c>
      <c r="F199" s="2" t="n"/>
      <c r="G199" s="81" t="n"/>
      <c r="H199" s="81" t="n"/>
      <c r="I199" s="2" t="n"/>
      <c r="J199" s="2" t="n"/>
      <c r="K199" s="73" t="str">
        <f>IF(A199="","",IF(J199="AUTO",H199,IF(J199="MANUAL",AK199,"")))</f>
        <v/>
      </c>
      <c r="L199" s="2" t="n"/>
      <c r="M199" s="2" t="n"/>
      <c r="N199" s="56" t="str">
        <f>IF(A199="","",IF(COUNTIFS('Human Operation Desktop'!$A$3:$A$502,A199,'Human Operation Desktop'!$I$3:$I$502,"&lt;&gt;APPLIED",'Human Operation Desktop'!$I$3:$I$502,"&lt;&gt;REJECTED")&gt;0,"YES","NO"))</f>
        <v/>
      </c>
      <c r="O199" s="2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76" t="n"/>
      <c r="AL199" s="3" t="n"/>
      <c r="AM199" s="3" t="n"/>
      <c r="AN199" s="3" t="n"/>
      <c r="AO199" s="3" t="n"/>
      <c r="AP199" s="3" t="n"/>
      <c r="AQ199" s="3" t="n"/>
      <c r="AR199" s="3" t="n"/>
      <c r="AS199" s="3" t="n"/>
    </row>
    <row r="200" ht="20" customHeight="1">
      <c r="A200" s="2" t="n"/>
      <c r="B200" s="2" t="n"/>
      <c r="C200" s="2" t="n"/>
      <c r="D200" s="2" t="n"/>
      <c r="E200" s="53" t="str">
        <f>IF(A200="","",IF(OR(AJ200="EXCLUDE",COUNTIF(AD200:AH200,"LOW")&gt;0),"EXCLUDE",IF(OR(AJ200&lt;&gt;"INCLUDE",F200&lt;&gt;"SUCCESS",D200&lt;&gt;"STORED",U200="",AP200="",AQ200="",AQ200="UNVERIFIED",AND(AP200="OFFICIAL_WEBSITE",Q200=""),AND(OR(AA200="Equipment manual / OEM instruction",AB200="Asset-specific normative"),OR(Z200&lt;&gt;"Manufacturer / supplier",AS200="",AC200=""))),"PENDING",IF(COUNTIF(AD200:AH200,"HIGH")=5,"INCLUDE","PENDING"))))</f>
        <v/>
      </c>
      <c r="F200" s="2" t="n"/>
      <c r="G200" s="81" t="n"/>
      <c r="H200" s="81" t="n"/>
      <c r="I200" s="2" t="n"/>
      <c r="J200" s="2" t="n"/>
      <c r="K200" s="75" t="str">
        <f>IF(A200="","",IF(J200="AUTO",H200,IF(J200="MANUAL",AK200,"")))</f>
        <v/>
      </c>
      <c r="L200" s="2" t="n"/>
      <c r="M200" s="2" t="n"/>
      <c r="N200" s="53" t="str">
        <f>IF(A200="","",IF(COUNTIFS('Human Operation Desktop'!$A$3:$A$502,A200,'Human Operation Desktop'!$I$3:$I$502,"&lt;&gt;APPLIED",'Human Operation Desktop'!$I$3:$I$502,"&lt;&gt;REJECTED")&gt;0,"YES","NO"))</f>
        <v/>
      </c>
      <c r="O200" s="2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76" t="n"/>
      <c r="AL200" s="3" t="n"/>
      <c r="AM200" s="3" t="n"/>
      <c r="AN200" s="3" t="n"/>
      <c r="AO200" s="3" t="n"/>
      <c r="AP200" s="3" t="n"/>
      <c r="AQ200" s="3" t="n"/>
      <c r="AR200" s="3" t="n"/>
      <c r="AS200" s="3" t="n"/>
    </row>
    <row r="201" ht="20" customHeight="1">
      <c r="A201" s="2" t="n"/>
      <c r="B201" s="2" t="n"/>
      <c r="C201" s="2" t="n"/>
      <c r="D201" s="2" t="n"/>
      <c r="E201" s="56" t="str">
        <f>IF(A201="","",IF(OR(AJ201="EXCLUDE",COUNTIF(AD201:AH201,"LOW")&gt;0),"EXCLUDE",IF(OR(AJ201&lt;&gt;"INCLUDE",F201&lt;&gt;"SUCCESS",D201&lt;&gt;"STORED",U201="",AP201="",AQ201="",AQ201="UNVERIFIED",AND(AP201="OFFICIAL_WEBSITE",Q201=""),AND(OR(AA201="Equipment manual / OEM instruction",AB201="Asset-specific normative"),OR(Z201&lt;&gt;"Manufacturer / supplier",AS201="",AC201=""))),"PENDING",IF(COUNTIF(AD201:AH201,"HIGH")=5,"INCLUDE","PENDING"))))</f>
        <v/>
      </c>
      <c r="F201" s="2" t="n"/>
      <c r="G201" s="81" t="n"/>
      <c r="H201" s="81" t="n"/>
      <c r="I201" s="2" t="n"/>
      <c r="J201" s="2" t="n"/>
      <c r="K201" s="73" t="str">
        <f>IF(A201="","",IF(J201="AUTO",H201,IF(J201="MANUAL",AK201,"")))</f>
        <v/>
      </c>
      <c r="L201" s="2" t="n"/>
      <c r="M201" s="2" t="n"/>
      <c r="N201" s="56" t="str">
        <f>IF(A201="","",IF(COUNTIFS('Human Operation Desktop'!$A$3:$A$502,A201,'Human Operation Desktop'!$I$3:$I$502,"&lt;&gt;APPLIED",'Human Operation Desktop'!$I$3:$I$502,"&lt;&gt;REJECTED")&gt;0,"YES","NO"))</f>
        <v/>
      </c>
      <c r="O201" s="2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76" t="n"/>
      <c r="AL201" s="3" t="n"/>
      <c r="AM201" s="3" t="n"/>
      <c r="AN201" s="3" t="n"/>
      <c r="AO201" s="3" t="n"/>
      <c r="AP201" s="3" t="n"/>
      <c r="AQ201" s="3" t="n"/>
      <c r="AR201" s="3" t="n"/>
      <c r="AS201" s="3" t="n"/>
    </row>
    <row r="202" ht="20" customHeight="1">
      <c r="A202" s="2" t="n"/>
      <c r="B202" s="2" t="n"/>
      <c r="C202" s="2" t="n"/>
      <c r="D202" s="2" t="n"/>
      <c r="E202" s="53" t="str">
        <f>IF(A202="","",IF(OR(AJ202="EXCLUDE",COUNTIF(AD202:AH202,"LOW")&gt;0),"EXCLUDE",IF(OR(AJ202&lt;&gt;"INCLUDE",F202&lt;&gt;"SUCCESS",D202&lt;&gt;"STORED",U202="",AP202="",AQ202="",AQ202="UNVERIFIED",AND(AP202="OFFICIAL_WEBSITE",Q202=""),AND(OR(AA202="Equipment manual / OEM instruction",AB202="Asset-specific normative"),OR(Z202&lt;&gt;"Manufacturer / supplier",AS202="",AC202=""))),"PENDING",IF(COUNTIF(AD202:AH202,"HIGH")=5,"INCLUDE","PENDING"))))</f>
        <v/>
      </c>
      <c r="F202" s="2" t="n"/>
      <c r="G202" s="81" t="n"/>
      <c r="H202" s="81" t="n"/>
      <c r="I202" s="2" t="n"/>
      <c r="J202" s="2" t="n"/>
      <c r="K202" s="75" t="str">
        <f>IF(A202="","",IF(J202="AUTO",H202,IF(J202="MANUAL",AK202,"")))</f>
        <v/>
      </c>
      <c r="L202" s="2" t="n"/>
      <c r="M202" s="2" t="n"/>
      <c r="N202" s="53" t="str">
        <f>IF(A202="","",IF(COUNTIFS('Human Operation Desktop'!$A$3:$A$502,A202,'Human Operation Desktop'!$I$3:$I$502,"&lt;&gt;APPLIED",'Human Operation Desktop'!$I$3:$I$502,"&lt;&gt;REJECTED")&gt;0,"YES","NO"))</f>
        <v/>
      </c>
      <c r="O202" s="2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76" t="n"/>
      <c r="AL202" s="3" t="n"/>
      <c r="AM202" s="3" t="n"/>
      <c r="AN202" s="3" t="n"/>
      <c r="AO202" s="3" t="n"/>
      <c r="AP202" s="3" t="n"/>
      <c r="AQ202" s="3" t="n"/>
      <c r="AR202" s="3" t="n"/>
      <c r="AS202" s="3" t="n"/>
    </row>
    <row r="203" ht="20" customHeight="1">
      <c r="A203" s="2" t="n"/>
      <c r="B203" s="2" t="n"/>
      <c r="C203" s="2" t="n"/>
      <c r="D203" s="2" t="n"/>
      <c r="E203" s="56" t="str">
        <f>IF(A203="","",IF(OR(AJ203="EXCLUDE",COUNTIF(AD203:AH203,"LOW")&gt;0),"EXCLUDE",IF(OR(AJ203&lt;&gt;"INCLUDE",F203&lt;&gt;"SUCCESS",D203&lt;&gt;"STORED",U203="",AP203="",AQ203="",AQ203="UNVERIFIED",AND(AP203="OFFICIAL_WEBSITE",Q203=""),AND(OR(AA203="Equipment manual / OEM instruction",AB203="Asset-specific normative"),OR(Z203&lt;&gt;"Manufacturer / supplier",AS203="",AC203=""))),"PENDING",IF(COUNTIF(AD203:AH203,"HIGH")=5,"INCLUDE","PENDING"))))</f>
        <v/>
      </c>
      <c r="F203" s="2" t="n"/>
      <c r="G203" s="81" t="n"/>
      <c r="H203" s="81" t="n"/>
      <c r="I203" s="2" t="n"/>
      <c r="J203" s="2" t="n"/>
      <c r="K203" s="73" t="str">
        <f>IF(A203="","",IF(J203="AUTO",H203,IF(J203="MANUAL",AK203,"")))</f>
        <v/>
      </c>
      <c r="L203" s="2" t="n"/>
      <c r="M203" s="2" t="n"/>
      <c r="N203" s="56" t="str">
        <f>IF(A203="","",IF(COUNTIFS('Human Operation Desktop'!$A$3:$A$502,A203,'Human Operation Desktop'!$I$3:$I$502,"&lt;&gt;APPLIED",'Human Operation Desktop'!$I$3:$I$502,"&lt;&gt;REJECTED")&gt;0,"YES","NO"))</f>
        <v/>
      </c>
      <c r="O203" s="2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76" t="n"/>
      <c r="AL203" s="3" t="n"/>
      <c r="AM203" s="3" t="n"/>
      <c r="AN203" s="3" t="n"/>
      <c r="AO203" s="3" t="n"/>
      <c r="AP203" s="3" t="n"/>
      <c r="AQ203" s="3" t="n"/>
      <c r="AR203" s="3" t="n"/>
      <c r="AS203" s="3" t="n"/>
    </row>
    <row r="204" ht="20" customHeight="1">
      <c r="A204" s="2" t="n"/>
      <c r="B204" s="2" t="n"/>
      <c r="C204" s="2" t="n"/>
      <c r="D204" s="2" t="n"/>
      <c r="E204" s="53" t="str">
        <f>IF(A204="","",IF(OR(AJ204="EXCLUDE",COUNTIF(AD204:AH204,"LOW")&gt;0),"EXCLUDE",IF(OR(AJ204&lt;&gt;"INCLUDE",F204&lt;&gt;"SUCCESS",D204&lt;&gt;"STORED",U204="",AP204="",AQ204="",AQ204="UNVERIFIED",AND(AP204="OFFICIAL_WEBSITE",Q204=""),AND(OR(AA204="Equipment manual / OEM instruction",AB204="Asset-specific normative"),OR(Z204&lt;&gt;"Manufacturer / supplier",AS204="",AC204=""))),"PENDING",IF(COUNTIF(AD204:AH204,"HIGH")=5,"INCLUDE","PENDING"))))</f>
        <v/>
      </c>
      <c r="F204" s="2" t="n"/>
      <c r="G204" s="81" t="n"/>
      <c r="H204" s="81" t="n"/>
      <c r="I204" s="2" t="n"/>
      <c r="J204" s="2" t="n"/>
      <c r="K204" s="75" t="str">
        <f>IF(A204="","",IF(J204="AUTO",H204,IF(J204="MANUAL",AK204,"")))</f>
        <v/>
      </c>
      <c r="L204" s="2" t="n"/>
      <c r="M204" s="2" t="n"/>
      <c r="N204" s="53" t="str">
        <f>IF(A204="","",IF(COUNTIFS('Human Operation Desktop'!$A$3:$A$502,A204,'Human Operation Desktop'!$I$3:$I$502,"&lt;&gt;APPLIED",'Human Operation Desktop'!$I$3:$I$502,"&lt;&gt;REJECTED")&gt;0,"YES","NO"))</f>
        <v/>
      </c>
      <c r="O204" s="2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76" t="n"/>
      <c r="AL204" s="3" t="n"/>
      <c r="AM204" s="3" t="n"/>
      <c r="AN204" s="3" t="n"/>
      <c r="AO204" s="3" t="n"/>
      <c r="AP204" s="3" t="n"/>
      <c r="AQ204" s="3" t="n"/>
      <c r="AR204" s="3" t="n"/>
      <c r="AS204" s="3" t="n"/>
    </row>
    <row r="205" ht="20" customHeight="1">
      <c r="A205" s="2" t="n"/>
      <c r="B205" s="2" t="n"/>
      <c r="C205" s="2" t="n"/>
      <c r="D205" s="2" t="n"/>
      <c r="E205" s="56" t="str">
        <f>IF(A205="","",IF(OR(AJ205="EXCLUDE",COUNTIF(AD205:AH205,"LOW")&gt;0),"EXCLUDE",IF(OR(AJ205&lt;&gt;"INCLUDE",F205&lt;&gt;"SUCCESS",D205&lt;&gt;"STORED",U205="",AP205="",AQ205="",AQ205="UNVERIFIED",AND(AP205="OFFICIAL_WEBSITE",Q205=""),AND(OR(AA205="Equipment manual / OEM instruction",AB205="Asset-specific normative"),OR(Z205&lt;&gt;"Manufacturer / supplier",AS205="",AC205=""))),"PENDING",IF(COUNTIF(AD205:AH205,"HIGH")=5,"INCLUDE","PENDING"))))</f>
        <v/>
      </c>
      <c r="F205" s="2" t="n"/>
      <c r="G205" s="81" t="n"/>
      <c r="H205" s="81" t="n"/>
      <c r="I205" s="2" t="n"/>
      <c r="J205" s="2" t="n"/>
      <c r="K205" s="73" t="str">
        <f>IF(A205="","",IF(J205="AUTO",H205,IF(J205="MANUAL",AK205,"")))</f>
        <v/>
      </c>
      <c r="L205" s="2" t="n"/>
      <c r="M205" s="2" t="n"/>
      <c r="N205" s="56" t="str">
        <f>IF(A205="","",IF(COUNTIFS('Human Operation Desktop'!$A$3:$A$502,A205,'Human Operation Desktop'!$I$3:$I$502,"&lt;&gt;APPLIED",'Human Operation Desktop'!$I$3:$I$502,"&lt;&gt;REJECTED")&gt;0,"YES","NO"))</f>
        <v/>
      </c>
      <c r="O205" s="2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76" t="n"/>
      <c r="AL205" s="3" t="n"/>
      <c r="AM205" s="3" t="n"/>
      <c r="AN205" s="3" t="n"/>
      <c r="AO205" s="3" t="n"/>
      <c r="AP205" s="3" t="n"/>
      <c r="AQ205" s="3" t="n"/>
      <c r="AR205" s="3" t="n"/>
      <c r="AS205" s="3" t="n"/>
    </row>
    <row r="206" ht="20" customHeight="1">
      <c r="A206" s="2" t="n"/>
      <c r="B206" s="2" t="n"/>
      <c r="C206" s="2" t="n"/>
      <c r="D206" s="2" t="n"/>
      <c r="E206" s="53" t="str">
        <f>IF(A206="","",IF(OR(AJ206="EXCLUDE",COUNTIF(AD206:AH206,"LOW")&gt;0),"EXCLUDE",IF(OR(AJ206&lt;&gt;"INCLUDE",F206&lt;&gt;"SUCCESS",D206&lt;&gt;"STORED",U206="",AP206="",AQ206="",AQ206="UNVERIFIED",AND(AP206="OFFICIAL_WEBSITE",Q206=""),AND(OR(AA206="Equipment manual / OEM instruction",AB206="Asset-specific normative"),OR(Z206&lt;&gt;"Manufacturer / supplier",AS206="",AC206=""))),"PENDING",IF(COUNTIF(AD206:AH206,"HIGH")=5,"INCLUDE","PENDING"))))</f>
        <v/>
      </c>
      <c r="F206" s="2" t="n"/>
      <c r="G206" s="81" t="n"/>
      <c r="H206" s="81" t="n"/>
      <c r="I206" s="2" t="n"/>
      <c r="J206" s="2" t="n"/>
      <c r="K206" s="75" t="str">
        <f>IF(A206="","",IF(J206="AUTO",H206,IF(J206="MANUAL",AK206,"")))</f>
        <v/>
      </c>
      <c r="L206" s="2" t="n"/>
      <c r="M206" s="2" t="n"/>
      <c r="N206" s="53" t="str">
        <f>IF(A206="","",IF(COUNTIFS('Human Operation Desktop'!$A$3:$A$502,A206,'Human Operation Desktop'!$I$3:$I$502,"&lt;&gt;APPLIED",'Human Operation Desktop'!$I$3:$I$502,"&lt;&gt;REJECTED")&gt;0,"YES","NO"))</f>
        <v/>
      </c>
      <c r="O206" s="2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76" t="n"/>
      <c r="AL206" s="3" t="n"/>
      <c r="AM206" s="3" t="n"/>
      <c r="AN206" s="3" t="n"/>
      <c r="AO206" s="3" t="n"/>
      <c r="AP206" s="3" t="n"/>
      <c r="AQ206" s="3" t="n"/>
      <c r="AR206" s="3" t="n"/>
      <c r="AS206" s="3" t="n"/>
    </row>
    <row r="207" ht="20" customHeight="1">
      <c r="A207" s="2" t="n"/>
      <c r="B207" s="2" t="n"/>
      <c r="C207" s="2" t="n"/>
      <c r="D207" s="2" t="n"/>
      <c r="E207" s="56" t="str">
        <f>IF(A207="","",IF(OR(AJ207="EXCLUDE",COUNTIF(AD207:AH207,"LOW")&gt;0),"EXCLUDE",IF(OR(AJ207&lt;&gt;"INCLUDE",F207&lt;&gt;"SUCCESS",D207&lt;&gt;"STORED",U207="",AP207="",AQ207="",AQ207="UNVERIFIED",AND(AP207="OFFICIAL_WEBSITE",Q207=""),AND(OR(AA207="Equipment manual / OEM instruction",AB207="Asset-specific normative"),OR(Z207&lt;&gt;"Manufacturer / supplier",AS207="",AC207=""))),"PENDING",IF(COUNTIF(AD207:AH207,"HIGH")=5,"INCLUDE","PENDING"))))</f>
        <v/>
      </c>
      <c r="F207" s="2" t="n"/>
      <c r="G207" s="81" t="n"/>
      <c r="H207" s="81" t="n"/>
      <c r="I207" s="2" t="n"/>
      <c r="J207" s="2" t="n"/>
      <c r="K207" s="73" t="str">
        <f>IF(A207="","",IF(J207="AUTO",H207,IF(J207="MANUAL",AK207,"")))</f>
        <v/>
      </c>
      <c r="L207" s="2" t="n"/>
      <c r="M207" s="2" t="n"/>
      <c r="N207" s="56" t="str">
        <f>IF(A207="","",IF(COUNTIFS('Human Operation Desktop'!$A$3:$A$502,A207,'Human Operation Desktop'!$I$3:$I$502,"&lt;&gt;APPLIED",'Human Operation Desktop'!$I$3:$I$502,"&lt;&gt;REJECTED")&gt;0,"YES","NO"))</f>
        <v/>
      </c>
      <c r="O207" s="2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76" t="n"/>
      <c r="AL207" s="3" t="n"/>
      <c r="AM207" s="3" t="n"/>
      <c r="AN207" s="3" t="n"/>
      <c r="AO207" s="3" t="n"/>
      <c r="AP207" s="3" t="n"/>
      <c r="AQ207" s="3" t="n"/>
      <c r="AR207" s="3" t="n"/>
      <c r="AS207" s="3" t="n"/>
    </row>
    <row r="208" ht="20" customHeight="1">
      <c r="A208" s="2" t="n"/>
      <c r="B208" s="2" t="n"/>
      <c r="C208" s="2" t="n"/>
      <c r="D208" s="2" t="n"/>
      <c r="E208" s="53" t="str">
        <f>IF(A208="","",IF(OR(AJ208="EXCLUDE",COUNTIF(AD208:AH208,"LOW")&gt;0),"EXCLUDE",IF(OR(AJ208&lt;&gt;"INCLUDE",F208&lt;&gt;"SUCCESS",D208&lt;&gt;"STORED",U208="",AP208="",AQ208="",AQ208="UNVERIFIED",AND(AP208="OFFICIAL_WEBSITE",Q208=""),AND(OR(AA208="Equipment manual / OEM instruction",AB208="Asset-specific normative"),OR(Z208&lt;&gt;"Manufacturer / supplier",AS208="",AC208=""))),"PENDING",IF(COUNTIF(AD208:AH208,"HIGH")=5,"INCLUDE","PENDING"))))</f>
        <v/>
      </c>
      <c r="F208" s="2" t="n"/>
      <c r="G208" s="81" t="n"/>
      <c r="H208" s="81" t="n"/>
      <c r="I208" s="2" t="n"/>
      <c r="J208" s="2" t="n"/>
      <c r="K208" s="75" t="str">
        <f>IF(A208="","",IF(J208="AUTO",H208,IF(J208="MANUAL",AK208,"")))</f>
        <v/>
      </c>
      <c r="L208" s="2" t="n"/>
      <c r="M208" s="2" t="n"/>
      <c r="N208" s="53" t="str">
        <f>IF(A208="","",IF(COUNTIFS('Human Operation Desktop'!$A$3:$A$502,A208,'Human Operation Desktop'!$I$3:$I$502,"&lt;&gt;APPLIED",'Human Operation Desktop'!$I$3:$I$502,"&lt;&gt;REJECTED")&gt;0,"YES","NO"))</f>
        <v/>
      </c>
      <c r="O208" s="2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76" t="n"/>
      <c r="AL208" s="3" t="n"/>
      <c r="AM208" s="3" t="n"/>
      <c r="AN208" s="3" t="n"/>
      <c r="AO208" s="3" t="n"/>
      <c r="AP208" s="3" t="n"/>
      <c r="AQ208" s="3" t="n"/>
      <c r="AR208" s="3" t="n"/>
      <c r="AS208" s="3" t="n"/>
    </row>
    <row r="209" ht="20" customHeight="1">
      <c r="A209" s="2" t="n"/>
      <c r="B209" s="2" t="n"/>
      <c r="C209" s="2" t="n"/>
      <c r="D209" s="2" t="n"/>
      <c r="E209" s="56" t="str">
        <f>IF(A209="","",IF(OR(AJ209="EXCLUDE",COUNTIF(AD209:AH209,"LOW")&gt;0),"EXCLUDE",IF(OR(AJ209&lt;&gt;"INCLUDE",F209&lt;&gt;"SUCCESS",D209&lt;&gt;"STORED",U209="",AP209="",AQ209="",AQ209="UNVERIFIED",AND(AP209="OFFICIAL_WEBSITE",Q209=""),AND(OR(AA209="Equipment manual / OEM instruction",AB209="Asset-specific normative"),OR(Z209&lt;&gt;"Manufacturer / supplier",AS209="",AC209=""))),"PENDING",IF(COUNTIF(AD209:AH209,"HIGH")=5,"INCLUDE","PENDING"))))</f>
        <v/>
      </c>
      <c r="F209" s="2" t="n"/>
      <c r="G209" s="81" t="n"/>
      <c r="H209" s="81" t="n"/>
      <c r="I209" s="2" t="n"/>
      <c r="J209" s="2" t="n"/>
      <c r="K209" s="73" t="str">
        <f>IF(A209="","",IF(J209="AUTO",H209,IF(J209="MANUAL",AK209,"")))</f>
        <v/>
      </c>
      <c r="L209" s="2" t="n"/>
      <c r="M209" s="2" t="n"/>
      <c r="N209" s="56" t="str">
        <f>IF(A209="","",IF(COUNTIFS('Human Operation Desktop'!$A$3:$A$502,A209,'Human Operation Desktop'!$I$3:$I$502,"&lt;&gt;APPLIED",'Human Operation Desktop'!$I$3:$I$502,"&lt;&gt;REJECTED")&gt;0,"YES","NO"))</f>
        <v/>
      </c>
      <c r="O209" s="2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76" t="n"/>
      <c r="AL209" s="3" t="n"/>
      <c r="AM209" s="3" t="n"/>
      <c r="AN209" s="3" t="n"/>
      <c r="AO209" s="3" t="n"/>
      <c r="AP209" s="3" t="n"/>
      <c r="AQ209" s="3" t="n"/>
      <c r="AR209" s="3" t="n"/>
      <c r="AS209" s="3" t="n"/>
    </row>
    <row r="210" ht="20" customHeight="1">
      <c r="A210" s="2" t="n"/>
      <c r="B210" s="2" t="n"/>
      <c r="C210" s="2" t="n"/>
      <c r="D210" s="2" t="n"/>
      <c r="E210" s="53" t="str">
        <f>IF(A210="","",IF(OR(AJ210="EXCLUDE",COUNTIF(AD210:AH210,"LOW")&gt;0),"EXCLUDE",IF(OR(AJ210&lt;&gt;"INCLUDE",F210&lt;&gt;"SUCCESS",D210&lt;&gt;"STORED",U210="",AP210="",AQ210="",AQ210="UNVERIFIED",AND(AP210="OFFICIAL_WEBSITE",Q210=""),AND(OR(AA210="Equipment manual / OEM instruction",AB210="Asset-specific normative"),OR(Z210&lt;&gt;"Manufacturer / supplier",AS210="",AC210=""))),"PENDING",IF(COUNTIF(AD210:AH210,"HIGH")=5,"INCLUDE","PENDING"))))</f>
        <v/>
      </c>
      <c r="F210" s="2" t="n"/>
      <c r="G210" s="81" t="n"/>
      <c r="H210" s="81" t="n"/>
      <c r="I210" s="2" t="n"/>
      <c r="J210" s="2" t="n"/>
      <c r="K210" s="75" t="str">
        <f>IF(A210="","",IF(J210="AUTO",H210,IF(J210="MANUAL",AK210,"")))</f>
        <v/>
      </c>
      <c r="L210" s="2" t="n"/>
      <c r="M210" s="2" t="n"/>
      <c r="N210" s="53" t="str">
        <f>IF(A210="","",IF(COUNTIFS('Human Operation Desktop'!$A$3:$A$502,A210,'Human Operation Desktop'!$I$3:$I$502,"&lt;&gt;APPLIED",'Human Operation Desktop'!$I$3:$I$502,"&lt;&gt;REJECTED")&gt;0,"YES","NO"))</f>
        <v/>
      </c>
      <c r="O210" s="2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76" t="n"/>
      <c r="AL210" s="3" t="n"/>
      <c r="AM210" s="3" t="n"/>
      <c r="AN210" s="3" t="n"/>
      <c r="AO210" s="3" t="n"/>
      <c r="AP210" s="3" t="n"/>
      <c r="AQ210" s="3" t="n"/>
      <c r="AR210" s="3" t="n"/>
      <c r="AS210" s="3" t="n"/>
    </row>
    <row r="211" ht="20" customHeight="1">
      <c r="A211" s="2" t="n"/>
      <c r="B211" s="2" t="n"/>
      <c r="C211" s="2" t="n"/>
      <c r="D211" s="2" t="n"/>
      <c r="E211" s="56" t="str">
        <f>IF(A211="","",IF(OR(AJ211="EXCLUDE",COUNTIF(AD211:AH211,"LOW")&gt;0),"EXCLUDE",IF(OR(AJ211&lt;&gt;"INCLUDE",F211&lt;&gt;"SUCCESS",D211&lt;&gt;"STORED",U211="",AP211="",AQ211="",AQ211="UNVERIFIED",AND(AP211="OFFICIAL_WEBSITE",Q211=""),AND(OR(AA211="Equipment manual / OEM instruction",AB211="Asset-specific normative"),OR(Z211&lt;&gt;"Manufacturer / supplier",AS211="",AC211=""))),"PENDING",IF(COUNTIF(AD211:AH211,"HIGH")=5,"INCLUDE","PENDING"))))</f>
        <v/>
      </c>
      <c r="F211" s="2" t="n"/>
      <c r="G211" s="81" t="n"/>
      <c r="H211" s="81" t="n"/>
      <c r="I211" s="2" t="n"/>
      <c r="J211" s="2" t="n"/>
      <c r="K211" s="73" t="str">
        <f>IF(A211="","",IF(J211="AUTO",H211,IF(J211="MANUAL",AK211,"")))</f>
        <v/>
      </c>
      <c r="L211" s="2" t="n"/>
      <c r="M211" s="2" t="n"/>
      <c r="N211" s="56" t="str">
        <f>IF(A211="","",IF(COUNTIFS('Human Operation Desktop'!$A$3:$A$502,A211,'Human Operation Desktop'!$I$3:$I$502,"&lt;&gt;APPLIED",'Human Operation Desktop'!$I$3:$I$502,"&lt;&gt;REJECTED")&gt;0,"YES","NO"))</f>
        <v/>
      </c>
      <c r="O211" s="2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76" t="n"/>
      <c r="AL211" s="3" t="n"/>
      <c r="AM211" s="3" t="n"/>
      <c r="AN211" s="3" t="n"/>
      <c r="AO211" s="3" t="n"/>
      <c r="AP211" s="3" t="n"/>
      <c r="AQ211" s="3" t="n"/>
      <c r="AR211" s="3" t="n"/>
      <c r="AS211" s="3" t="n"/>
    </row>
    <row r="212" ht="20" customHeight="1">
      <c r="A212" s="2" t="n"/>
      <c r="B212" s="2" t="n"/>
      <c r="C212" s="2" t="n"/>
      <c r="D212" s="2" t="n"/>
      <c r="E212" s="53" t="str">
        <f>IF(A212="","",IF(OR(AJ212="EXCLUDE",COUNTIF(AD212:AH212,"LOW")&gt;0),"EXCLUDE",IF(OR(AJ212&lt;&gt;"INCLUDE",F212&lt;&gt;"SUCCESS",D212&lt;&gt;"STORED",U212="",AP212="",AQ212="",AQ212="UNVERIFIED",AND(AP212="OFFICIAL_WEBSITE",Q212=""),AND(OR(AA212="Equipment manual / OEM instruction",AB212="Asset-specific normative"),OR(Z212&lt;&gt;"Manufacturer / supplier",AS212="",AC212=""))),"PENDING",IF(COUNTIF(AD212:AH212,"HIGH")=5,"INCLUDE","PENDING"))))</f>
        <v/>
      </c>
      <c r="F212" s="2" t="n"/>
      <c r="G212" s="81" t="n"/>
      <c r="H212" s="81" t="n"/>
      <c r="I212" s="2" t="n"/>
      <c r="J212" s="2" t="n"/>
      <c r="K212" s="75" t="str">
        <f>IF(A212="","",IF(J212="AUTO",H212,IF(J212="MANUAL",AK212,"")))</f>
        <v/>
      </c>
      <c r="L212" s="2" t="n"/>
      <c r="M212" s="2" t="n"/>
      <c r="N212" s="53" t="str">
        <f>IF(A212="","",IF(COUNTIFS('Human Operation Desktop'!$A$3:$A$502,A212,'Human Operation Desktop'!$I$3:$I$502,"&lt;&gt;APPLIED",'Human Operation Desktop'!$I$3:$I$502,"&lt;&gt;REJECTED")&gt;0,"YES","NO"))</f>
        <v/>
      </c>
      <c r="O212" s="2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76" t="n"/>
      <c r="AL212" s="3" t="n"/>
      <c r="AM212" s="3" t="n"/>
      <c r="AN212" s="3" t="n"/>
      <c r="AO212" s="3" t="n"/>
      <c r="AP212" s="3" t="n"/>
      <c r="AQ212" s="3" t="n"/>
      <c r="AR212" s="3" t="n"/>
      <c r="AS212" s="3" t="n"/>
    </row>
    <row r="213" ht="20" customHeight="1">
      <c r="A213" s="2" t="n"/>
      <c r="B213" s="2" t="n"/>
      <c r="C213" s="2" t="n"/>
      <c r="D213" s="2" t="n"/>
      <c r="E213" s="56" t="str">
        <f>IF(A213="","",IF(OR(AJ213="EXCLUDE",COUNTIF(AD213:AH213,"LOW")&gt;0),"EXCLUDE",IF(OR(AJ213&lt;&gt;"INCLUDE",F213&lt;&gt;"SUCCESS",D213&lt;&gt;"STORED",U213="",AP213="",AQ213="",AQ213="UNVERIFIED",AND(AP213="OFFICIAL_WEBSITE",Q213=""),AND(OR(AA213="Equipment manual / OEM instruction",AB213="Asset-specific normative"),OR(Z213&lt;&gt;"Manufacturer / supplier",AS213="",AC213=""))),"PENDING",IF(COUNTIF(AD213:AH213,"HIGH")=5,"INCLUDE","PENDING"))))</f>
        <v/>
      </c>
      <c r="F213" s="2" t="n"/>
      <c r="G213" s="81" t="n"/>
      <c r="H213" s="81" t="n"/>
      <c r="I213" s="2" t="n"/>
      <c r="J213" s="2" t="n"/>
      <c r="K213" s="73" t="str">
        <f>IF(A213="","",IF(J213="AUTO",H213,IF(J213="MANUAL",AK213,"")))</f>
        <v/>
      </c>
      <c r="L213" s="2" t="n"/>
      <c r="M213" s="2" t="n"/>
      <c r="N213" s="56" t="str">
        <f>IF(A213="","",IF(COUNTIFS('Human Operation Desktop'!$A$3:$A$502,A213,'Human Operation Desktop'!$I$3:$I$502,"&lt;&gt;APPLIED",'Human Operation Desktop'!$I$3:$I$502,"&lt;&gt;REJECTED")&gt;0,"YES","NO"))</f>
        <v/>
      </c>
      <c r="O213" s="2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76" t="n"/>
      <c r="AL213" s="3" t="n"/>
      <c r="AM213" s="3" t="n"/>
      <c r="AN213" s="3" t="n"/>
      <c r="AO213" s="3" t="n"/>
      <c r="AP213" s="3" t="n"/>
      <c r="AQ213" s="3" t="n"/>
      <c r="AR213" s="3" t="n"/>
      <c r="AS213" s="3" t="n"/>
    </row>
    <row r="214" ht="20" customHeight="1">
      <c r="A214" s="2" t="n"/>
      <c r="B214" s="2" t="n"/>
      <c r="C214" s="2" t="n"/>
      <c r="D214" s="2" t="n"/>
      <c r="E214" s="53" t="str">
        <f>IF(A214="","",IF(OR(AJ214="EXCLUDE",COUNTIF(AD214:AH214,"LOW")&gt;0),"EXCLUDE",IF(OR(AJ214&lt;&gt;"INCLUDE",F214&lt;&gt;"SUCCESS",D214&lt;&gt;"STORED",U214="",AP214="",AQ214="",AQ214="UNVERIFIED",AND(AP214="OFFICIAL_WEBSITE",Q214=""),AND(OR(AA214="Equipment manual / OEM instruction",AB214="Asset-specific normative"),OR(Z214&lt;&gt;"Manufacturer / supplier",AS214="",AC214=""))),"PENDING",IF(COUNTIF(AD214:AH214,"HIGH")=5,"INCLUDE","PENDING"))))</f>
        <v/>
      </c>
      <c r="F214" s="2" t="n"/>
      <c r="G214" s="81" t="n"/>
      <c r="H214" s="81" t="n"/>
      <c r="I214" s="2" t="n"/>
      <c r="J214" s="2" t="n"/>
      <c r="K214" s="75" t="str">
        <f>IF(A214="","",IF(J214="AUTO",H214,IF(J214="MANUAL",AK214,"")))</f>
        <v/>
      </c>
      <c r="L214" s="2" t="n"/>
      <c r="M214" s="2" t="n"/>
      <c r="N214" s="53" t="str">
        <f>IF(A214="","",IF(COUNTIFS('Human Operation Desktop'!$A$3:$A$502,A214,'Human Operation Desktop'!$I$3:$I$502,"&lt;&gt;APPLIED",'Human Operation Desktop'!$I$3:$I$502,"&lt;&gt;REJECTED")&gt;0,"YES","NO"))</f>
        <v/>
      </c>
      <c r="O214" s="2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76" t="n"/>
      <c r="AL214" s="3" t="n"/>
      <c r="AM214" s="3" t="n"/>
      <c r="AN214" s="3" t="n"/>
      <c r="AO214" s="3" t="n"/>
      <c r="AP214" s="3" t="n"/>
      <c r="AQ214" s="3" t="n"/>
      <c r="AR214" s="3" t="n"/>
      <c r="AS214" s="3" t="n"/>
    </row>
    <row r="215" ht="20" customHeight="1">
      <c r="A215" s="2" t="n"/>
      <c r="B215" s="2" t="n"/>
      <c r="C215" s="2" t="n"/>
      <c r="D215" s="2" t="n"/>
      <c r="E215" s="56" t="str">
        <f>IF(A215="","",IF(OR(AJ215="EXCLUDE",COUNTIF(AD215:AH215,"LOW")&gt;0),"EXCLUDE",IF(OR(AJ215&lt;&gt;"INCLUDE",F215&lt;&gt;"SUCCESS",D215&lt;&gt;"STORED",U215="",AP215="",AQ215="",AQ215="UNVERIFIED",AND(AP215="OFFICIAL_WEBSITE",Q215=""),AND(OR(AA215="Equipment manual / OEM instruction",AB215="Asset-specific normative"),OR(Z215&lt;&gt;"Manufacturer / supplier",AS215="",AC215=""))),"PENDING",IF(COUNTIF(AD215:AH215,"HIGH")=5,"INCLUDE","PENDING"))))</f>
        <v/>
      </c>
      <c r="F215" s="2" t="n"/>
      <c r="G215" s="81" t="n"/>
      <c r="H215" s="81" t="n"/>
      <c r="I215" s="2" t="n"/>
      <c r="J215" s="2" t="n"/>
      <c r="K215" s="73" t="str">
        <f>IF(A215="","",IF(J215="AUTO",H215,IF(J215="MANUAL",AK215,"")))</f>
        <v/>
      </c>
      <c r="L215" s="2" t="n"/>
      <c r="M215" s="2" t="n"/>
      <c r="N215" s="56" t="str">
        <f>IF(A215="","",IF(COUNTIFS('Human Operation Desktop'!$A$3:$A$502,A215,'Human Operation Desktop'!$I$3:$I$502,"&lt;&gt;APPLIED",'Human Operation Desktop'!$I$3:$I$502,"&lt;&gt;REJECTED")&gt;0,"YES","NO"))</f>
        <v/>
      </c>
      <c r="O215" s="2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76" t="n"/>
      <c r="AL215" s="3" t="n"/>
      <c r="AM215" s="3" t="n"/>
      <c r="AN215" s="3" t="n"/>
      <c r="AO215" s="3" t="n"/>
      <c r="AP215" s="3" t="n"/>
      <c r="AQ215" s="3" t="n"/>
      <c r="AR215" s="3" t="n"/>
      <c r="AS215" s="3" t="n"/>
    </row>
    <row r="216" ht="20" customHeight="1">
      <c r="A216" s="2" t="n"/>
      <c r="B216" s="2" t="n"/>
      <c r="C216" s="2" t="n"/>
      <c r="D216" s="2" t="n"/>
      <c r="E216" s="53" t="str">
        <f>IF(A216="","",IF(OR(AJ216="EXCLUDE",COUNTIF(AD216:AH216,"LOW")&gt;0),"EXCLUDE",IF(OR(AJ216&lt;&gt;"INCLUDE",F216&lt;&gt;"SUCCESS",D216&lt;&gt;"STORED",U216="",AP216="",AQ216="",AQ216="UNVERIFIED",AND(AP216="OFFICIAL_WEBSITE",Q216=""),AND(OR(AA216="Equipment manual / OEM instruction",AB216="Asset-specific normative"),OR(Z216&lt;&gt;"Manufacturer / supplier",AS216="",AC216=""))),"PENDING",IF(COUNTIF(AD216:AH216,"HIGH")=5,"INCLUDE","PENDING"))))</f>
        <v/>
      </c>
      <c r="F216" s="2" t="n"/>
      <c r="G216" s="81" t="n"/>
      <c r="H216" s="81" t="n"/>
      <c r="I216" s="2" t="n"/>
      <c r="J216" s="2" t="n"/>
      <c r="K216" s="75" t="str">
        <f>IF(A216="","",IF(J216="AUTO",H216,IF(J216="MANUAL",AK216,"")))</f>
        <v/>
      </c>
      <c r="L216" s="2" t="n"/>
      <c r="M216" s="2" t="n"/>
      <c r="N216" s="53" t="str">
        <f>IF(A216="","",IF(COUNTIFS('Human Operation Desktop'!$A$3:$A$502,A216,'Human Operation Desktop'!$I$3:$I$502,"&lt;&gt;APPLIED",'Human Operation Desktop'!$I$3:$I$502,"&lt;&gt;REJECTED")&gt;0,"YES","NO"))</f>
        <v/>
      </c>
      <c r="O216" s="2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76" t="n"/>
      <c r="AL216" s="3" t="n"/>
      <c r="AM216" s="3" t="n"/>
      <c r="AN216" s="3" t="n"/>
      <c r="AO216" s="3" t="n"/>
      <c r="AP216" s="3" t="n"/>
      <c r="AQ216" s="3" t="n"/>
      <c r="AR216" s="3" t="n"/>
      <c r="AS216" s="3" t="n"/>
    </row>
    <row r="217" ht="20" customHeight="1">
      <c r="A217" s="2" t="n"/>
      <c r="B217" s="2" t="n"/>
      <c r="C217" s="2" t="n"/>
      <c r="D217" s="2" t="n"/>
      <c r="E217" s="56" t="str">
        <f>IF(A217="","",IF(OR(AJ217="EXCLUDE",COUNTIF(AD217:AH217,"LOW")&gt;0),"EXCLUDE",IF(OR(AJ217&lt;&gt;"INCLUDE",F217&lt;&gt;"SUCCESS",D217&lt;&gt;"STORED",U217="",AP217="",AQ217="",AQ217="UNVERIFIED",AND(AP217="OFFICIAL_WEBSITE",Q217=""),AND(OR(AA217="Equipment manual / OEM instruction",AB217="Asset-specific normative"),OR(Z217&lt;&gt;"Manufacturer / supplier",AS217="",AC217=""))),"PENDING",IF(COUNTIF(AD217:AH217,"HIGH")=5,"INCLUDE","PENDING"))))</f>
        <v/>
      </c>
      <c r="F217" s="2" t="n"/>
      <c r="G217" s="81" t="n"/>
      <c r="H217" s="81" t="n"/>
      <c r="I217" s="2" t="n"/>
      <c r="J217" s="2" t="n"/>
      <c r="K217" s="73" t="str">
        <f>IF(A217="","",IF(J217="AUTO",H217,IF(J217="MANUAL",AK217,"")))</f>
        <v/>
      </c>
      <c r="L217" s="2" t="n"/>
      <c r="M217" s="2" t="n"/>
      <c r="N217" s="56" t="str">
        <f>IF(A217="","",IF(COUNTIFS('Human Operation Desktop'!$A$3:$A$502,A217,'Human Operation Desktop'!$I$3:$I$502,"&lt;&gt;APPLIED",'Human Operation Desktop'!$I$3:$I$502,"&lt;&gt;REJECTED")&gt;0,"YES","NO"))</f>
        <v/>
      </c>
      <c r="O217" s="2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76" t="n"/>
      <c r="AL217" s="3" t="n"/>
      <c r="AM217" s="3" t="n"/>
      <c r="AN217" s="3" t="n"/>
      <c r="AO217" s="3" t="n"/>
      <c r="AP217" s="3" t="n"/>
      <c r="AQ217" s="3" t="n"/>
      <c r="AR217" s="3" t="n"/>
      <c r="AS217" s="3" t="n"/>
    </row>
    <row r="218" ht="20" customHeight="1">
      <c r="A218" s="2" t="n"/>
      <c r="B218" s="2" t="n"/>
      <c r="C218" s="2" t="n"/>
      <c r="D218" s="2" t="n"/>
      <c r="E218" s="53" t="str">
        <f>IF(A218="","",IF(OR(AJ218="EXCLUDE",COUNTIF(AD218:AH218,"LOW")&gt;0),"EXCLUDE",IF(OR(AJ218&lt;&gt;"INCLUDE",F218&lt;&gt;"SUCCESS",D218&lt;&gt;"STORED",U218="",AP218="",AQ218="",AQ218="UNVERIFIED",AND(AP218="OFFICIAL_WEBSITE",Q218=""),AND(OR(AA218="Equipment manual / OEM instruction",AB218="Asset-specific normative"),OR(Z218&lt;&gt;"Manufacturer / supplier",AS218="",AC218=""))),"PENDING",IF(COUNTIF(AD218:AH218,"HIGH")=5,"INCLUDE","PENDING"))))</f>
        <v/>
      </c>
      <c r="F218" s="2" t="n"/>
      <c r="G218" s="81" t="n"/>
      <c r="H218" s="81" t="n"/>
      <c r="I218" s="2" t="n"/>
      <c r="J218" s="2" t="n"/>
      <c r="K218" s="75" t="str">
        <f>IF(A218="","",IF(J218="AUTO",H218,IF(J218="MANUAL",AK218,"")))</f>
        <v/>
      </c>
      <c r="L218" s="2" t="n"/>
      <c r="M218" s="2" t="n"/>
      <c r="N218" s="53" t="str">
        <f>IF(A218="","",IF(COUNTIFS('Human Operation Desktop'!$A$3:$A$502,A218,'Human Operation Desktop'!$I$3:$I$502,"&lt;&gt;APPLIED",'Human Operation Desktop'!$I$3:$I$502,"&lt;&gt;REJECTED")&gt;0,"YES","NO"))</f>
        <v/>
      </c>
      <c r="O218" s="2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76" t="n"/>
      <c r="AL218" s="3" t="n"/>
      <c r="AM218" s="3" t="n"/>
      <c r="AN218" s="3" t="n"/>
      <c r="AO218" s="3" t="n"/>
      <c r="AP218" s="3" t="n"/>
      <c r="AQ218" s="3" t="n"/>
      <c r="AR218" s="3" t="n"/>
      <c r="AS218" s="3" t="n"/>
    </row>
    <row r="219" ht="20" customHeight="1">
      <c r="A219" s="2" t="n"/>
      <c r="B219" s="2" t="n"/>
      <c r="C219" s="2" t="n"/>
      <c r="D219" s="2" t="n"/>
      <c r="E219" s="56" t="str">
        <f>IF(A219="","",IF(OR(AJ219="EXCLUDE",COUNTIF(AD219:AH219,"LOW")&gt;0),"EXCLUDE",IF(OR(AJ219&lt;&gt;"INCLUDE",F219&lt;&gt;"SUCCESS",D219&lt;&gt;"STORED",U219="",AP219="",AQ219="",AQ219="UNVERIFIED",AND(AP219="OFFICIAL_WEBSITE",Q219=""),AND(OR(AA219="Equipment manual / OEM instruction",AB219="Asset-specific normative"),OR(Z219&lt;&gt;"Manufacturer / supplier",AS219="",AC219=""))),"PENDING",IF(COUNTIF(AD219:AH219,"HIGH")=5,"INCLUDE","PENDING"))))</f>
        <v/>
      </c>
      <c r="F219" s="2" t="n"/>
      <c r="G219" s="81" t="n"/>
      <c r="H219" s="81" t="n"/>
      <c r="I219" s="2" t="n"/>
      <c r="J219" s="2" t="n"/>
      <c r="K219" s="73" t="str">
        <f>IF(A219="","",IF(J219="AUTO",H219,IF(J219="MANUAL",AK219,"")))</f>
        <v/>
      </c>
      <c r="L219" s="2" t="n"/>
      <c r="M219" s="2" t="n"/>
      <c r="N219" s="56" t="str">
        <f>IF(A219="","",IF(COUNTIFS('Human Operation Desktop'!$A$3:$A$502,A219,'Human Operation Desktop'!$I$3:$I$502,"&lt;&gt;APPLIED",'Human Operation Desktop'!$I$3:$I$502,"&lt;&gt;REJECTED")&gt;0,"YES","NO"))</f>
        <v/>
      </c>
      <c r="O219" s="2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76" t="n"/>
      <c r="AL219" s="3" t="n"/>
      <c r="AM219" s="3" t="n"/>
      <c r="AN219" s="3" t="n"/>
      <c r="AO219" s="3" t="n"/>
      <c r="AP219" s="3" t="n"/>
      <c r="AQ219" s="3" t="n"/>
      <c r="AR219" s="3" t="n"/>
      <c r="AS219" s="3" t="n"/>
    </row>
    <row r="220" ht="20" customHeight="1">
      <c r="A220" s="2" t="n"/>
      <c r="B220" s="2" t="n"/>
      <c r="C220" s="2" t="n"/>
      <c r="D220" s="2" t="n"/>
      <c r="E220" s="53" t="str">
        <f>IF(A220="","",IF(OR(AJ220="EXCLUDE",COUNTIF(AD220:AH220,"LOW")&gt;0),"EXCLUDE",IF(OR(AJ220&lt;&gt;"INCLUDE",F220&lt;&gt;"SUCCESS",D220&lt;&gt;"STORED",U220="",AP220="",AQ220="",AQ220="UNVERIFIED",AND(AP220="OFFICIAL_WEBSITE",Q220=""),AND(OR(AA220="Equipment manual / OEM instruction",AB220="Asset-specific normative"),OR(Z220&lt;&gt;"Manufacturer / supplier",AS220="",AC220=""))),"PENDING",IF(COUNTIF(AD220:AH220,"HIGH")=5,"INCLUDE","PENDING"))))</f>
        <v/>
      </c>
      <c r="F220" s="2" t="n"/>
      <c r="G220" s="81" t="n"/>
      <c r="H220" s="81" t="n"/>
      <c r="I220" s="2" t="n"/>
      <c r="J220" s="2" t="n"/>
      <c r="K220" s="75" t="str">
        <f>IF(A220="","",IF(J220="AUTO",H220,IF(J220="MANUAL",AK220,"")))</f>
        <v/>
      </c>
      <c r="L220" s="2" t="n"/>
      <c r="M220" s="2" t="n"/>
      <c r="N220" s="53" t="str">
        <f>IF(A220="","",IF(COUNTIFS('Human Operation Desktop'!$A$3:$A$502,A220,'Human Operation Desktop'!$I$3:$I$502,"&lt;&gt;APPLIED",'Human Operation Desktop'!$I$3:$I$502,"&lt;&gt;REJECTED")&gt;0,"YES","NO"))</f>
        <v/>
      </c>
      <c r="O220" s="2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76" t="n"/>
      <c r="AL220" s="3" t="n"/>
      <c r="AM220" s="3" t="n"/>
      <c r="AN220" s="3" t="n"/>
      <c r="AO220" s="3" t="n"/>
      <c r="AP220" s="3" t="n"/>
      <c r="AQ220" s="3" t="n"/>
      <c r="AR220" s="3" t="n"/>
      <c r="AS220" s="3" t="n"/>
    </row>
    <row r="221" ht="20" customHeight="1">
      <c r="A221" s="2" t="n"/>
      <c r="B221" s="2" t="n"/>
      <c r="C221" s="2" t="n"/>
      <c r="D221" s="2" t="n"/>
      <c r="E221" s="56" t="str">
        <f>IF(A221="","",IF(OR(AJ221="EXCLUDE",COUNTIF(AD221:AH221,"LOW")&gt;0),"EXCLUDE",IF(OR(AJ221&lt;&gt;"INCLUDE",F221&lt;&gt;"SUCCESS",D221&lt;&gt;"STORED",U221="",AP221="",AQ221="",AQ221="UNVERIFIED",AND(AP221="OFFICIAL_WEBSITE",Q221=""),AND(OR(AA221="Equipment manual / OEM instruction",AB221="Asset-specific normative"),OR(Z221&lt;&gt;"Manufacturer / supplier",AS221="",AC221=""))),"PENDING",IF(COUNTIF(AD221:AH221,"HIGH")=5,"INCLUDE","PENDING"))))</f>
        <v/>
      </c>
      <c r="F221" s="2" t="n"/>
      <c r="G221" s="81" t="n"/>
      <c r="H221" s="81" t="n"/>
      <c r="I221" s="2" t="n"/>
      <c r="J221" s="2" t="n"/>
      <c r="K221" s="73" t="str">
        <f>IF(A221="","",IF(J221="AUTO",H221,IF(J221="MANUAL",AK221,"")))</f>
        <v/>
      </c>
      <c r="L221" s="2" t="n"/>
      <c r="M221" s="2" t="n"/>
      <c r="N221" s="56" t="str">
        <f>IF(A221="","",IF(COUNTIFS('Human Operation Desktop'!$A$3:$A$502,A221,'Human Operation Desktop'!$I$3:$I$502,"&lt;&gt;APPLIED",'Human Operation Desktop'!$I$3:$I$502,"&lt;&gt;REJECTED")&gt;0,"YES","NO"))</f>
        <v/>
      </c>
      <c r="O221" s="2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76" t="n"/>
      <c r="AL221" s="3" t="n"/>
      <c r="AM221" s="3" t="n"/>
      <c r="AN221" s="3" t="n"/>
      <c r="AO221" s="3" t="n"/>
      <c r="AP221" s="3" t="n"/>
      <c r="AQ221" s="3" t="n"/>
      <c r="AR221" s="3" t="n"/>
      <c r="AS221" s="3" t="n"/>
    </row>
    <row r="222" ht="20" customHeight="1">
      <c r="A222" s="2" t="n"/>
      <c r="B222" s="2" t="n"/>
      <c r="C222" s="2" t="n"/>
      <c r="D222" s="2" t="n"/>
      <c r="E222" s="53" t="str">
        <f>IF(A222="","",IF(OR(AJ222="EXCLUDE",COUNTIF(AD222:AH222,"LOW")&gt;0),"EXCLUDE",IF(OR(AJ222&lt;&gt;"INCLUDE",F222&lt;&gt;"SUCCESS",D222&lt;&gt;"STORED",U222="",AP222="",AQ222="",AQ222="UNVERIFIED",AND(AP222="OFFICIAL_WEBSITE",Q222=""),AND(OR(AA222="Equipment manual / OEM instruction",AB222="Asset-specific normative"),OR(Z222&lt;&gt;"Manufacturer / supplier",AS222="",AC222=""))),"PENDING",IF(COUNTIF(AD222:AH222,"HIGH")=5,"INCLUDE","PENDING"))))</f>
        <v/>
      </c>
      <c r="F222" s="2" t="n"/>
      <c r="G222" s="81" t="n"/>
      <c r="H222" s="81" t="n"/>
      <c r="I222" s="2" t="n"/>
      <c r="J222" s="2" t="n"/>
      <c r="K222" s="75" t="str">
        <f>IF(A222="","",IF(J222="AUTO",H222,IF(J222="MANUAL",AK222,"")))</f>
        <v/>
      </c>
      <c r="L222" s="2" t="n"/>
      <c r="M222" s="2" t="n"/>
      <c r="N222" s="53" t="str">
        <f>IF(A222="","",IF(COUNTIFS('Human Operation Desktop'!$A$3:$A$502,A222,'Human Operation Desktop'!$I$3:$I$502,"&lt;&gt;APPLIED",'Human Operation Desktop'!$I$3:$I$502,"&lt;&gt;REJECTED")&gt;0,"YES","NO"))</f>
        <v/>
      </c>
      <c r="O222" s="2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76" t="n"/>
      <c r="AL222" s="3" t="n"/>
      <c r="AM222" s="3" t="n"/>
      <c r="AN222" s="3" t="n"/>
      <c r="AO222" s="3" t="n"/>
      <c r="AP222" s="3" t="n"/>
      <c r="AQ222" s="3" t="n"/>
      <c r="AR222" s="3" t="n"/>
      <c r="AS222" s="3" t="n"/>
    </row>
    <row r="223" ht="20" customHeight="1">
      <c r="A223" s="2" t="n"/>
      <c r="B223" s="2" t="n"/>
      <c r="C223" s="2" t="n"/>
      <c r="D223" s="2" t="n"/>
      <c r="E223" s="56" t="str">
        <f>IF(A223="","",IF(OR(AJ223="EXCLUDE",COUNTIF(AD223:AH223,"LOW")&gt;0),"EXCLUDE",IF(OR(AJ223&lt;&gt;"INCLUDE",F223&lt;&gt;"SUCCESS",D223&lt;&gt;"STORED",U223="",AP223="",AQ223="",AQ223="UNVERIFIED",AND(AP223="OFFICIAL_WEBSITE",Q223=""),AND(OR(AA223="Equipment manual / OEM instruction",AB223="Asset-specific normative"),OR(Z223&lt;&gt;"Manufacturer / supplier",AS223="",AC223=""))),"PENDING",IF(COUNTIF(AD223:AH223,"HIGH")=5,"INCLUDE","PENDING"))))</f>
        <v/>
      </c>
      <c r="F223" s="2" t="n"/>
      <c r="G223" s="81" t="n"/>
      <c r="H223" s="81" t="n"/>
      <c r="I223" s="2" t="n"/>
      <c r="J223" s="2" t="n"/>
      <c r="K223" s="73" t="str">
        <f>IF(A223="","",IF(J223="AUTO",H223,IF(J223="MANUAL",AK223,"")))</f>
        <v/>
      </c>
      <c r="L223" s="2" t="n"/>
      <c r="M223" s="2" t="n"/>
      <c r="N223" s="56" t="str">
        <f>IF(A223="","",IF(COUNTIFS('Human Operation Desktop'!$A$3:$A$502,A223,'Human Operation Desktop'!$I$3:$I$502,"&lt;&gt;APPLIED",'Human Operation Desktop'!$I$3:$I$502,"&lt;&gt;REJECTED")&gt;0,"YES","NO"))</f>
        <v/>
      </c>
      <c r="O223" s="2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76" t="n"/>
      <c r="AL223" s="3" t="n"/>
      <c r="AM223" s="3" t="n"/>
      <c r="AN223" s="3" t="n"/>
      <c r="AO223" s="3" t="n"/>
      <c r="AP223" s="3" t="n"/>
      <c r="AQ223" s="3" t="n"/>
      <c r="AR223" s="3" t="n"/>
      <c r="AS223" s="3" t="n"/>
    </row>
    <row r="224" ht="20" customHeight="1">
      <c r="A224" s="2" t="n"/>
      <c r="B224" s="2" t="n"/>
      <c r="C224" s="2" t="n"/>
      <c r="D224" s="2" t="n"/>
      <c r="E224" s="53" t="str">
        <f>IF(A224="","",IF(OR(AJ224="EXCLUDE",COUNTIF(AD224:AH224,"LOW")&gt;0),"EXCLUDE",IF(OR(AJ224&lt;&gt;"INCLUDE",F224&lt;&gt;"SUCCESS",D224&lt;&gt;"STORED",U224="",AP224="",AQ224="",AQ224="UNVERIFIED",AND(AP224="OFFICIAL_WEBSITE",Q224=""),AND(OR(AA224="Equipment manual / OEM instruction",AB224="Asset-specific normative"),OR(Z224&lt;&gt;"Manufacturer / supplier",AS224="",AC224=""))),"PENDING",IF(COUNTIF(AD224:AH224,"HIGH")=5,"INCLUDE","PENDING"))))</f>
        <v/>
      </c>
      <c r="F224" s="2" t="n"/>
      <c r="G224" s="81" t="n"/>
      <c r="H224" s="81" t="n"/>
      <c r="I224" s="2" t="n"/>
      <c r="J224" s="2" t="n"/>
      <c r="K224" s="75" t="str">
        <f>IF(A224="","",IF(J224="AUTO",H224,IF(J224="MANUAL",AK224,"")))</f>
        <v/>
      </c>
      <c r="L224" s="2" t="n"/>
      <c r="M224" s="2" t="n"/>
      <c r="N224" s="53" t="str">
        <f>IF(A224="","",IF(COUNTIFS('Human Operation Desktop'!$A$3:$A$502,A224,'Human Operation Desktop'!$I$3:$I$502,"&lt;&gt;APPLIED",'Human Operation Desktop'!$I$3:$I$502,"&lt;&gt;REJECTED")&gt;0,"YES","NO"))</f>
        <v/>
      </c>
      <c r="O224" s="2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76" t="n"/>
      <c r="AL224" s="3" t="n"/>
      <c r="AM224" s="3" t="n"/>
      <c r="AN224" s="3" t="n"/>
      <c r="AO224" s="3" t="n"/>
      <c r="AP224" s="3" t="n"/>
      <c r="AQ224" s="3" t="n"/>
      <c r="AR224" s="3" t="n"/>
      <c r="AS224" s="3" t="n"/>
    </row>
    <row r="225" ht="20" customHeight="1">
      <c r="A225" s="2" t="n"/>
      <c r="B225" s="2" t="n"/>
      <c r="C225" s="2" t="n"/>
      <c r="D225" s="2" t="n"/>
      <c r="E225" s="56" t="str">
        <f>IF(A225="","",IF(OR(AJ225="EXCLUDE",COUNTIF(AD225:AH225,"LOW")&gt;0),"EXCLUDE",IF(OR(AJ225&lt;&gt;"INCLUDE",F225&lt;&gt;"SUCCESS",D225&lt;&gt;"STORED",U225="",AP225="",AQ225="",AQ225="UNVERIFIED",AND(AP225="OFFICIAL_WEBSITE",Q225=""),AND(OR(AA225="Equipment manual / OEM instruction",AB225="Asset-specific normative"),OR(Z225&lt;&gt;"Manufacturer / supplier",AS225="",AC225=""))),"PENDING",IF(COUNTIF(AD225:AH225,"HIGH")=5,"INCLUDE","PENDING"))))</f>
        <v/>
      </c>
      <c r="F225" s="2" t="n"/>
      <c r="G225" s="81" t="n"/>
      <c r="H225" s="81" t="n"/>
      <c r="I225" s="2" t="n"/>
      <c r="J225" s="2" t="n"/>
      <c r="K225" s="73" t="str">
        <f>IF(A225="","",IF(J225="AUTO",H225,IF(J225="MANUAL",AK225,"")))</f>
        <v/>
      </c>
      <c r="L225" s="2" t="n"/>
      <c r="M225" s="2" t="n"/>
      <c r="N225" s="56" t="str">
        <f>IF(A225="","",IF(COUNTIFS('Human Operation Desktop'!$A$3:$A$502,A225,'Human Operation Desktop'!$I$3:$I$502,"&lt;&gt;APPLIED",'Human Operation Desktop'!$I$3:$I$502,"&lt;&gt;REJECTED")&gt;0,"YES","NO"))</f>
        <v/>
      </c>
      <c r="O225" s="2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76" t="n"/>
      <c r="AL225" s="3" t="n"/>
      <c r="AM225" s="3" t="n"/>
      <c r="AN225" s="3" t="n"/>
      <c r="AO225" s="3" t="n"/>
      <c r="AP225" s="3" t="n"/>
      <c r="AQ225" s="3" t="n"/>
      <c r="AR225" s="3" t="n"/>
      <c r="AS225" s="3" t="n"/>
    </row>
    <row r="226" ht="20" customHeight="1">
      <c r="A226" s="2" t="n"/>
      <c r="B226" s="2" t="n"/>
      <c r="C226" s="2" t="n"/>
      <c r="D226" s="2" t="n"/>
      <c r="E226" s="53" t="str">
        <f>IF(A226="","",IF(OR(AJ226="EXCLUDE",COUNTIF(AD226:AH226,"LOW")&gt;0),"EXCLUDE",IF(OR(AJ226&lt;&gt;"INCLUDE",F226&lt;&gt;"SUCCESS",D226&lt;&gt;"STORED",U226="",AP226="",AQ226="",AQ226="UNVERIFIED",AND(AP226="OFFICIAL_WEBSITE",Q226=""),AND(OR(AA226="Equipment manual / OEM instruction",AB226="Asset-specific normative"),OR(Z226&lt;&gt;"Manufacturer / supplier",AS226="",AC226=""))),"PENDING",IF(COUNTIF(AD226:AH226,"HIGH")=5,"INCLUDE","PENDING"))))</f>
        <v/>
      </c>
      <c r="F226" s="2" t="n"/>
      <c r="G226" s="81" t="n"/>
      <c r="H226" s="81" t="n"/>
      <c r="I226" s="2" t="n"/>
      <c r="J226" s="2" t="n"/>
      <c r="K226" s="75" t="str">
        <f>IF(A226="","",IF(J226="AUTO",H226,IF(J226="MANUAL",AK226,"")))</f>
        <v/>
      </c>
      <c r="L226" s="2" t="n"/>
      <c r="M226" s="2" t="n"/>
      <c r="N226" s="53" t="str">
        <f>IF(A226="","",IF(COUNTIFS('Human Operation Desktop'!$A$3:$A$502,A226,'Human Operation Desktop'!$I$3:$I$502,"&lt;&gt;APPLIED",'Human Operation Desktop'!$I$3:$I$502,"&lt;&gt;REJECTED")&gt;0,"YES","NO"))</f>
        <v/>
      </c>
      <c r="O226" s="2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76" t="n"/>
      <c r="AL226" s="3" t="n"/>
      <c r="AM226" s="3" t="n"/>
      <c r="AN226" s="3" t="n"/>
      <c r="AO226" s="3" t="n"/>
      <c r="AP226" s="3" t="n"/>
      <c r="AQ226" s="3" t="n"/>
      <c r="AR226" s="3" t="n"/>
      <c r="AS226" s="3" t="n"/>
    </row>
    <row r="227" ht="20" customHeight="1">
      <c r="A227" s="2" t="n"/>
      <c r="B227" s="2" t="n"/>
      <c r="C227" s="2" t="n"/>
      <c r="D227" s="2" t="n"/>
      <c r="E227" s="56" t="str">
        <f>IF(A227="","",IF(OR(AJ227="EXCLUDE",COUNTIF(AD227:AH227,"LOW")&gt;0),"EXCLUDE",IF(OR(AJ227&lt;&gt;"INCLUDE",F227&lt;&gt;"SUCCESS",D227&lt;&gt;"STORED",U227="",AP227="",AQ227="",AQ227="UNVERIFIED",AND(AP227="OFFICIAL_WEBSITE",Q227=""),AND(OR(AA227="Equipment manual / OEM instruction",AB227="Asset-specific normative"),OR(Z227&lt;&gt;"Manufacturer / supplier",AS227="",AC227=""))),"PENDING",IF(COUNTIF(AD227:AH227,"HIGH")=5,"INCLUDE","PENDING"))))</f>
        <v/>
      </c>
      <c r="F227" s="2" t="n"/>
      <c r="G227" s="81" t="n"/>
      <c r="H227" s="81" t="n"/>
      <c r="I227" s="2" t="n"/>
      <c r="J227" s="2" t="n"/>
      <c r="K227" s="73" t="str">
        <f>IF(A227="","",IF(J227="AUTO",H227,IF(J227="MANUAL",AK227,"")))</f>
        <v/>
      </c>
      <c r="L227" s="2" t="n"/>
      <c r="M227" s="2" t="n"/>
      <c r="N227" s="56" t="str">
        <f>IF(A227="","",IF(COUNTIFS('Human Operation Desktop'!$A$3:$A$502,A227,'Human Operation Desktop'!$I$3:$I$502,"&lt;&gt;APPLIED",'Human Operation Desktop'!$I$3:$I$502,"&lt;&gt;REJECTED")&gt;0,"YES","NO"))</f>
        <v/>
      </c>
      <c r="O227" s="2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76" t="n"/>
      <c r="AL227" s="3" t="n"/>
      <c r="AM227" s="3" t="n"/>
      <c r="AN227" s="3" t="n"/>
      <c r="AO227" s="3" t="n"/>
      <c r="AP227" s="3" t="n"/>
      <c r="AQ227" s="3" t="n"/>
      <c r="AR227" s="3" t="n"/>
      <c r="AS227" s="3" t="n"/>
    </row>
    <row r="228" ht="20" customHeight="1">
      <c r="A228" s="2" t="n"/>
      <c r="B228" s="2" t="n"/>
      <c r="C228" s="2" t="n"/>
      <c r="D228" s="2" t="n"/>
      <c r="E228" s="53" t="str">
        <f>IF(A228="","",IF(OR(AJ228="EXCLUDE",COUNTIF(AD228:AH228,"LOW")&gt;0),"EXCLUDE",IF(OR(AJ228&lt;&gt;"INCLUDE",F228&lt;&gt;"SUCCESS",D228&lt;&gt;"STORED",U228="",AP228="",AQ228="",AQ228="UNVERIFIED",AND(AP228="OFFICIAL_WEBSITE",Q228=""),AND(OR(AA228="Equipment manual / OEM instruction",AB228="Asset-specific normative"),OR(Z228&lt;&gt;"Manufacturer / supplier",AS228="",AC228=""))),"PENDING",IF(COUNTIF(AD228:AH228,"HIGH")=5,"INCLUDE","PENDING"))))</f>
        <v/>
      </c>
      <c r="F228" s="2" t="n"/>
      <c r="G228" s="81" t="n"/>
      <c r="H228" s="81" t="n"/>
      <c r="I228" s="2" t="n"/>
      <c r="J228" s="2" t="n"/>
      <c r="K228" s="75" t="str">
        <f>IF(A228="","",IF(J228="AUTO",H228,IF(J228="MANUAL",AK228,"")))</f>
        <v/>
      </c>
      <c r="L228" s="2" t="n"/>
      <c r="M228" s="2" t="n"/>
      <c r="N228" s="53" t="str">
        <f>IF(A228="","",IF(COUNTIFS('Human Operation Desktop'!$A$3:$A$502,A228,'Human Operation Desktop'!$I$3:$I$502,"&lt;&gt;APPLIED",'Human Operation Desktop'!$I$3:$I$502,"&lt;&gt;REJECTED")&gt;0,"YES","NO"))</f>
        <v/>
      </c>
      <c r="O228" s="2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76" t="n"/>
      <c r="AL228" s="3" t="n"/>
      <c r="AM228" s="3" t="n"/>
      <c r="AN228" s="3" t="n"/>
      <c r="AO228" s="3" t="n"/>
      <c r="AP228" s="3" t="n"/>
      <c r="AQ228" s="3" t="n"/>
      <c r="AR228" s="3" t="n"/>
      <c r="AS228" s="3" t="n"/>
    </row>
    <row r="229" ht="20" customHeight="1">
      <c r="A229" s="2" t="n"/>
      <c r="B229" s="2" t="n"/>
      <c r="C229" s="2" t="n"/>
      <c r="D229" s="2" t="n"/>
      <c r="E229" s="56" t="str">
        <f>IF(A229="","",IF(OR(AJ229="EXCLUDE",COUNTIF(AD229:AH229,"LOW")&gt;0),"EXCLUDE",IF(OR(AJ229&lt;&gt;"INCLUDE",F229&lt;&gt;"SUCCESS",D229&lt;&gt;"STORED",U229="",AP229="",AQ229="",AQ229="UNVERIFIED",AND(AP229="OFFICIAL_WEBSITE",Q229=""),AND(OR(AA229="Equipment manual / OEM instruction",AB229="Asset-specific normative"),OR(Z229&lt;&gt;"Manufacturer / supplier",AS229="",AC229=""))),"PENDING",IF(COUNTIF(AD229:AH229,"HIGH")=5,"INCLUDE","PENDING"))))</f>
        <v/>
      </c>
      <c r="F229" s="2" t="n"/>
      <c r="G229" s="81" t="n"/>
      <c r="H229" s="81" t="n"/>
      <c r="I229" s="2" t="n"/>
      <c r="J229" s="2" t="n"/>
      <c r="K229" s="73" t="str">
        <f>IF(A229="","",IF(J229="AUTO",H229,IF(J229="MANUAL",AK229,"")))</f>
        <v/>
      </c>
      <c r="L229" s="2" t="n"/>
      <c r="M229" s="2" t="n"/>
      <c r="N229" s="56" t="str">
        <f>IF(A229="","",IF(COUNTIFS('Human Operation Desktop'!$A$3:$A$502,A229,'Human Operation Desktop'!$I$3:$I$502,"&lt;&gt;APPLIED",'Human Operation Desktop'!$I$3:$I$502,"&lt;&gt;REJECTED")&gt;0,"YES","NO"))</f>
        <v/>
      </c>
      <c r="O229" s="2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76" t="n"/>
      <c r="AL229" s="3" t="n"/>
      <c r="AM229" s="3" t="n"/>
      <c r="AN229" s="3" t="n"/>
      <c r="AO229" s="3" t="n"/>
      <c r="AP229" s="3" t="n"/>
      <c r="AQ229" s="3" t="n"/>
      <c r="AR229" s="3" t="n"/>
      <c r="AS229" s="3" t="n"/>
    </row>
    <row r="230" ht="20" customHeight="1">
      <c r="A230" s="2" t="n"/>
      <c r="B230" s="2" t="n"/>
      <c r="C230" s="2" t="n"/>
      <c r="D230" s="2" t="n"/>
      <c r="E230" s="53" t="str">
        <f>IF(A230="","",IF(OR(AJ230="EXCLUDE",COUNTIF(AD230:AH230,"LOW")&gt;0),"EXCLUDE",IF(OR(AJ230&lt;&gt;"INCLUDE",F230&lt;&gt;"SUCCESS",D230&lt;&gt;"STORED",U230="",AP230="",AQ230="",AQ230="UNVERIFIED",AND(AP230="OFFICIAL_WEBSITE",Q230=""),AND(OR(AA230="Equipment manual / OEM instruction",AB230="Asset-specific normative"),OR(Z230&lt;&gt;"Manufacturer / supplier",AS230="",AC230=""))),"PENDING",IF(COUNTIF(AD230:AH230,"HIGH")=5,"INCLUDE","PENDING"))))</f>
        <v/>
      </c>
      <c r="F230" s="2" t="n"/>
      <c r="G230" s="81" t="n"/>
      <c r="H230" s="81" t="n"/>
      <c r="I230" s="2" t="n"/>
      <c r="J230" s="2" t="n"/>
      <c r="K230" s="75" t="str">
        <f>IF(A230="","",IF(J230="AUTO",H230,IF(J230="MANUAL",AK230,"")))</f>
        <v/>
      </c>
      <c r="L230" s="2" t="n"/>
      <c r="M230" s="2" t="n"/>
      <c r="N230" s="53" t="str">
        <f>IF(A230="","",IF(COUNTIFS('Human Operation Desktop'!$A$3:$A$502,A230,'Human Operation Desktop'!$I$3:$I$502,"&lt;&gt;APPLIED",'Human Operation Desktop'!$I$3:$I$502,"&lt;&gt;REJECTED")&gt;0,"YES","NO"))</f>
        <v/>
      </c>
      <c r="O230" s="2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76" t="n"/>
      <c r="AL230" s="3" t="n"/>
      <c r="AM230" s="3" t="n"/>
      <c r="AN230" s="3" t="n"/>
      <c r="AO230" s="3" t="n"/>
      <c r="AP230" s="3" t="n"/>
      <c r="AQ230" s="3" t="n"/>
      <c r="AR230" s="3" t="n"/>
      <c r="AS230" s="3" t="n"/>
    </row>
    <row r="231" ht="20" customHeight="1">
      <c r="A231" s="2" t="n"/>
      <c r="B231" s="2" t="n"/>
      <c r="C231" s="2" t="n"/>
      <c r="D231" s="2" t="n"/>
      <c r="E231" s="56" t="str">
        <f>IF(A231="","",IF(OR(AJ231="EXCLUDE",COUNTIF(AD231:AH231,"LOW")&gt;0),"EXCLUDE",IF(OR(AJ231&lt;&gt;"INCLUDE",F231&lt;&gt;"SUCCESS",D231&lt;&gt;"STORED",U231="",AP231="",AQ231="",AQ231="UNVERIFIED",AND(AP231="OFFICIAL_WEBSITE",Q231=""),AND(OR(AA231="Equipment manual / OEM instruction",AB231="Asset-specific normative"),OR(Z231&lt;&gt;"Manufacturer / supplier",AS231="",AC231=""))),"PENDING",IF(COUNTIF(AD231:AH231,"HIGH")=5,"INCLUDE","PENDING"))))</f>
        <v/>
      </c>
      <c r="F231" s="2" t="n"/>
      <c r="G231" s="81" t="n"/>
      <c r="H231" s="81" t="n"/>
      <c r="I231" s="2" t="n"/>
      <c r="J231" s="2" t="n"/>
      <c r="K231" s="73" t="str">
        <f>IF(A231="","",IF(J231="AUTO",H231,IF(J231="MANUAL",AK231,"")))</f>
        <v/>
      </c>
      <c r="L231" s="2" t="n"/>
      <c r="M231" s="2" t="n"/>
      <c r="N231" s="56" t="str">
        <f>IF(A231="","",IF(COUNTIFS('Human Operation Desktop'!$A$3:$A$502,A231,'Human Operation Desktop'!$I$3:$I$502,"&lt;&gt;APPLIED",'Human Operation Desktop'!$I$3:$I$502,"&lt;&gt;REJECTED")&gt;0,"YES","NO"))</f>
        <v/>
      </c>
      <c r="O231" s="2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76" t="n"/>
      <c r="AL231" s="3" t="n"/>
      <c r="AM231" s="3" t="n"/>
      <c r="AN231" s="3" t="n"/>
      <c r="AO231" s="3" t="n"/>
      <c r="AP231" s="3" t="n"/>
      <c r="AQ231" s="3" t="n"/>
      <c r="AR231" s="3" t="n"/>
      <c r="AS231" s="3" t="n"/>
    </row>
    <row r="232" ht="20" customHeight="1">
      <c r="A232" s="2" t="n"/>
      <c r="B232" s="2" t="n"/>
      <c r="C232" s="2" t="n"/>
      <c r="D232" s="2" t="n"/>
      <c r="E232" s="53" t="str">
        <f>IF(A232="","",IF(OR(AJ232="EXCLUDE",COUNTIF(AD232:AH232,"LOW")&gt;0),"EXCLUDE",IF(OR(AJ232&lt;&gt;"INCLUDE",F232&lt;&gt;"SUCCESS",D232&lt;&gt;"STORED",U232="",AP232="",AQ232="",AQ232="UNVERIFIED",AND(AP232="OFFICIAL_WEBSITE",Q232=""),AND(OR(AA232="Equipment manual / OEM instruction",AB232="Asset-specific normative"),OR(Z232&lt;&gt;"Manufacturer / supplier",AS232="",AC232=""))),"PENDING",IF(COUNTIF(AD232:AH232,"HIGH")=5,"INCLUDE","PENDING"))))</f>
        <v/>
      </c>
      <c r="F232" s="2" t="n"/>
      <c r="G232" s="81" t="n"/>
      <c r="H232" s="81" t="n"/>
      <c r="I232" s="2" t="n"/>
      <c r="J232" s="2" t="n"/>
      <c r="K232" s="75" t="str">
        <f>IF(A232="","",IF(J232="AUTO",H232,IF(J232="MANUAL",AK232,"")))</f>
        <v/>
      </c>
      <c r="L232" s="2" t="n"/>
      <c r="M232" s="2" t="n"/>
      <c r="N232" s="53" t="str">
        <f>IF(A232="","",IF(COUNTIFS('Human Operation Desktop'!$A$3:$A$502,A232,'Human Operation Desktop'!$I$3:$I$502,"&lt;&gt;APPLIED",'Human Operation Desktop'!$I$3:$I$502,"&lt;&gt;REJECTED")&gt;0,"YES","NO"))</f>
        <v/>
      </c>
      <c r="O232" s="2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76" t="n"/>
      <c r="AL232" s="3" t="n"/>
      <c r="AM232" s="3" t="n"/>
      <c r="AN232" s="3" t="n"/>
      <c r="AO232" s="3" t="n"/>
      <c r="AP232" s="3" t="n"/>
      <c r="AQ232" s="3" t="n"/>
      <c r="AR232" s="3" t="n"/>
      <c r="AS232" s="3" t="n"/>
    </row>
    <row r="233" ht="20" customHeight="1">
      <c r="A233" s="2" t="n"/>
      <c r="B233" s="2" t="n"/>
      <c r="C233" s="2" t="n"/>
      <c r="D233" s="2" t="n"/>
      <c r="E233" s="56" t="str">
        <f>IF(A233="","",IF(OR(AJ233="EXCLUDE",COUNTIF(AD233:AH233,"LOW")&gt;0),"EXCLUDE",IF(OR(AJ233&lt;&gt;"INCLUDE",F233&lt;&gt;"SUCCESS",D233&lt;&gt;"STORED",U233="",AP233="",AQ233="",AQ233="UNVERIFIED",AND(AP233="OFFICIAL_WEBSITE",Q233=""),AND(OR(AA233="Equipment manual / OEM instruction",AB233="Asset-specific normative"),OR(Z233&lt;&gt;"Manufacturer / supplier",AS233="",AC233=""))),"PENDING",IF(COUNTIF(AD233:AH233,"HIGH")=5,"INCLUDE","PENDING"))))</f>
        <v/>
      </c>
      <c r="F233" s="2" t="n"/>
      <c r="G233" s="81" t="n"/>
      <c r="H233" s="81" t="n"/>
      <c r="I233" s="2" t="n"/>
      <c r="J233" s="2" t="n"/>
      <c r="K233" s="73" t="str">
        <f>IF(A233="","",IF(J233="AUTO",H233,IF(J233="MANUAL",AK233,"")))</f>
        <v/>
      </c>
      <c r="L233" s="2" t="n"/>
      <c r="M233" s="2" t="n"/>
      <c r="N233" s="56" t="str">
        <f>IF(A233="","",IF(COUNTIFS('Human Operation Desktop'!$A$3:$A$502,A233,'Human Operation Desktop'!$I$3:$I$502,"&lt;&gt;APPLIED",'Human Operation Desktop'!$I$3:$I$502,"&lt;&gt;REJECTED")&gt;0,"YES","NO"))</f>
        <v/>
      </c>
      <c r="O233" s="2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76" t="n"/>
      <c r="AL233" s="3" t="n"/>
      <c r="AM233" s="3" t="n"/>
      <c r="AN233" s="3" t="n"/>
      <c r="AO233" s="3" t="n"/>
      <c r="AP233" s="3" t="n"/>
      <c r="AQ233" s="3" t="n"/>
      <c r="AR233" s="3" t="n"/>
      <c r="AS233" s="3" t="n"/>
    </row>
    <row r="234" ht="20" customHeight="1">
      <c r="A234" s="2" t="n"/>
      <c r="B234" s="2" t="n"/>
      <c r="C234" s="2" t="n"/>
      <c r="D234" s="2" t="n"/>
      <c r="E234" s="53" t="str">
        <f>IF(A234="","",IF(OR(AJ234="EXCLUDE",COUNTIF(AD234:AH234,"LOW")&gt;0),"EXCLUDE",IF(OR(AJ234&lt;&gt;"INCLUDE",F234&lt;&gt;"SUCCESS",D234&lt;&gt;"STORED",U234="",AP234="",AQ234="",AQ234="UNVERIFIED",AND(AP234="OFFICIAL_WEBSITE",Q234=""),AND(OR(AA234="Equipment manual / OEM instruction",AB234="Asset-specific normative"),OR(Z234&lt;&gt;"Manufacturer / supplier",AS234="",AC234=""))),"PENDING",IF(COUNTIF(AD234:AH234,"HIGH")=5,"INCLUDE","PENDING"))))</f>
        <v/>
      </c>
      <c r="F234" s="2" t="n"/>
      <c r="G234" s="81" t="n"/>
      <c r="H234" s="81" t="n"/>
      <c r="I234" s="2" t="n"/>
      <c r="J234" s="2" t="n"/>
      <c r="K234" s="75" t="str">
        <f>IF(A234="","",IF(J234="AUTO",H234,IF(J234="MANUAL",AK234,"")))</f>
        <v/>
      </c>
      <c r="L234" s="2" t="n"/>
      <c r="M234" s="2" t="n"/>
      <c r="N234" s="53" t="str">
        <f>IF(A234="","",IF(COUNTIFS('Human Operation Desktop'!$A$3:$A$502,A234,'Human Operation Desktop'!$I$3:$I$502,"&lt;&gt;APPLIED",'Human Operation Desktop'!$I$3:$I$502,"&lt;&gt;REJECTED")&gt;0,"YES","NO"))</f>
        <v/>
      </c>
      <c r="O234" s="2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76" t="n"/>
      <c r="AL234" s="3" t="n"/>
      <c r="AM234" s="3" t="n"/>
      <c r="AN234" s="3" t="n"/>
      <c r="AO234" s="3" t="n"/>
      <c r="AP234" s="3" t="n"/>
      <c r="AQ234" s="3" t="n"/>
      <c r="AR234" s="3" t="n"/>
      <c r="AS234" s="3" t="n"/>
    </row>
    <row r="235" ht="20" customHeight="1">
      <c r="A235" s="2" t="n"/>
      <c r="B235" s="2" t="n"/>
      <c r="C235" s="2" t="n"/>
      <c r="D235" s="2" t="n"/>
      <c r="E235" s="56" t="str">
        <f>IF(A235="","",IF(OR(AJ235="EXCLUDE",COUNTIF(AD235:AH235,"LOW")&gt;0),"EXCLUDE",IF(OR(AJ235&lt;&gt;"INCLUDE",F235&lt;&gt;"SUCCESS",D235&lt;&gt;"STORED",U235="",AP235="",AQ235="",AQ235="UNVERIFIED",AND(AP235="OFFICIAL_WEBSITE",Q235=""),AND(OR(AA235="Equipment manual / OEM instruction",AB235="Asset-specific normative"),OR(Z235&lt;&gt;"Manufacturer / supplier",AS235="",AC235=""))),"PENDING",IF(COUNTIF(AD235:AH235,"HIGH")=5,"INCLUDE","PENDING"))))</f>
        <v/>
      </c>
      <c r="F235" s="2" t="n"/>
      <c r="G235" s="81" t="n"/>
      <c r="H235" s="81" t="n"/>
      <c r="I235" s="2" t="n"/>
      <c r="J235" s="2" t="n"/>
      <c r="K235" s="73" t="str">
        <f>IF(A235="","",IF(J235="AUTO",H235,IF(J235="MANUAL",AK235,"")))</f>
        <v/>
      </c>
      <c r="L235" s="2" t="n"/>
      <c r="M235" s="2" t="n"/>
      <c r="N235" s="56" t="str">
        <f>IF(A235="","",IF(COUNTIFS('Human Operation Desktop'!$A$3:$A$502,A235,'Human Operation Desktop'!$I$3:$I$502,"&lt;&gt;APPLIED",'Human Operation Desktop'!$I$3:$I$502,"&lt;&gt;REJECTED")&gt;0,"YES","NO"))</f>
        <v/>
      </c>
      <c r="O235" s="2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76" t="n"/>
      <c r="AL235" s="3" t="n"/>
      <c r="AM235" s="3" t="n"/>
      <c r="AN235" s="3" t="n"/>
      <c r="AO235" s="3" t="n"/>
      <c r="AP235" s="3" t="n"/>
      <c r="AQ235" s="3" t="n"/>
      <c r="AR235" s="3" t="n"/>
      <c r="AS235" s="3" t="n"/>
    </row>
    <row r="236" ht="20" customHeight="1">
      <c r="A236" s="2" t="n"/>
      <c r="B236" s="2" t="n"/>
      <c r="C236" s="2" t="n"/>
      <c r="D236" s="2" t="n"/>
      <c r="E236" s="53" t="str">
        <f>IF(A236="","",IF(OR(AJ236="EXCLUDE",COUNTIF(AD236:AH236,"LOW")&gt;0),"EXCLUDE",IF(OR(AJ236&lt;&gt;"INCLUDE",F236&lt;&gt;"SUCCESS",D236&lt;&gt;"STORED",U236="",AP236="",AQ236="",AQ236="UNVERIFIED",AND(AP236="OFFICIAL_WEBSITE",Q236=""),AND(OR(AA236="Equipment manual / OEM instruction",AB236="Asset-specific normative"),OR(Z236&lt;&gt;"Manufacturer / supplier",AS236="",AC236=""))),"PENDING",IF(COUNTIF(AD236:AH236,"HIGH")=5,"INCLUDE","PENDING"))))</f>
        <v/>
      </c>
      <c r="F236" s="2" t="n"/>
      <c r="G236" s="81" t="n"/>
      <c r="H236" s="81" t="n"/>
      <c r="I236" s="2" t="n"/>
      <c r="J236" s="2" t="n"/>
      <c r="K236" s="75" t="str">
        <f>IF(A236="","",IF(J236="AUTO",H236,IF(J236="MANUAL",AK236,"")))</f>
        <v/>
      </c>
      <c r="L236" s="2" t="n"/>
      <c r="M236" s="2" t="n"/>
      <c r="N236" s="53" t="str">
        <f>IF(A236="","",IF(COUNTIFS('Human Operation Desktop'!$A$3:$A$502,A236,'Human Operation Desktop'!$I$3:$I$502,"&lt;&gt;APPLIED",'Human Operation Desktop'!$I$3:$I$502,"&lt;&gt;REJECTED")&gt;0,"YES","NO"))</f>
        <v/>
      </c>
      <c r="O236" s="2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76" t="n"/>
      <c r="AL236" s="3" t="n"/>
      <c r="AM236" s="3" t="n"/>
      <c r="AN236" s="3" t="n"/>
      <c r="AO236" s="3" t="n"/>
      <c r="AP236" s="3" t="n"/>
      <c r="AQ236" s="3" t="n"/>
      <c r="AR236" s="3" t="n"/>
      <c r="AS236" s="3" t="n"/>
    </row>
    <row r="237" ht="20" customHeight="1">
      <c r="A237" s="2" t="n"/>
      <c r="B237" s="2" t="n"/>
      <c r="C237" s="2" t="n"/>
      <c r="D237" s="2" t="n"/>
      <c r="E237" s="56" t="str">
        <f>IF(A237="","",IF(OR(AJ237="EXCLUDE",COUNTIF(AD237:AH237,"LOW")&gt;0),"EXCLUDE",IF(OR(AJ237&lt;&gt;"INCLUDE",F237&lt;&gt;"SUCCESS",D237&lt;&gt;"STORED",U237="",AP237="",AQ237="",AQ237="UNVERIFIED",AND(AP237="OFFICIAL_WEBSITE",Q237=""),AND(OR(AA237="Equipment manual / OEM instruction",AB237="Asset-specific normative"),OR(Z237&lt;&gt;"Manufacturer / supplier",AS237="",AC237=""))),"PENDING",IF(COUNTIF(AD237:AH237,"HIGH")=5,"INCLUDE","PENDING"))))</f>
        <v/>
      </c>
      <c r="F237" s="2" t="n"/>
      <c r="G237" s="81" t="n"/>
      <c r="H237" s="81" t="n"/>
      <c r="I237" s="2" t="n"/>
      <c r="J237" s="2" t="n"/>
      <c r="K237" s="73" t="str">
        <f>IF(A237="","",IF(J237="AUTO",H237,IF(J237="MANUAL",AK237,"")))</f>
        <v/>
      </c>
      <c r="L237" s="2" t="n"/>
      <c r="M237" s="2" t="n"/>
      <c r="N237" s="56" t="str">
        <f>IF(A237="","",IF(COUNTIFS('Human Operation Desktop'!$A$3:$A$502,A237,'Human Operation Desktop'!$I$3:$I$502,"&lt;&gt;APPLIED",'Human Operation Desktop'!$I$3:$I$502,"&lt;&gt;REJECTED")&gt;0,"YES","NO"))</f>
        <v/>
      </c>
      <c r="O237" s="2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76" t="n"/>
      <c r="AL237" s="3" t="n"/>
      <c r="AM237" s="3" t="n"/>
      <c r="AN237" s="3" t="n"/>
      <c r="AO237" s="3" t="n"/>
      <c r="AP237" s="3" t="n"/>
      <c r="AQ237" s="3" t="n"/>
      <c r="AR237" s="3" t="n"/>
      <c r="AS237" s="3" t="n"/>
    </row>
    <row r="238" ht="20" customHeight="1">
      <c r="A238" s="2" t="n"/>
      <c r="B238" s="2" t="n"/>
      <c r="C238" s="2" t="n"/>
      <c r="D238" s="2" t="n"/>
      <c r="E238" s="53" t="str">
        <f>IF(A238="","",IF(OR(AJ238="EXCLUDE",COUNTIF(AD238:AH238,"LOW")&gt;0),"EXCLUDE",IF(OR(AJ238&lt;&gt;"INCLUDE",F238&lt;&gt;"SUCCESS",D238&lt;&gt;"STORED",U238="",AP238="",AQ238="",AQ238="UNVERIFIED",AND(AP238="OFFICIAL_WEBSITE",Q238=""),AND(OR(AA238="Equipment manual / OEM instruction",AB238="Asset-specific normative"),OR(Z238&lt;&gt;"Manufacturer / supplier",AS238="",AC238=""))),"PENDING",IF(COUNTIF(AD238:AH238,"HIGH")=5,"INCLUDE","PENDING"))))</f>
        <v/>
      </c>
      <c r="F238" s="2" t="n"/>
      <c r="G238" s="81" t="n"/>
      <c r="H238" s="81" t="n"/>
      <c r="I238" s="2" t="n"/>
      <c r="J238" s="2" t="n"/>
      <c r="K238" s="75" t="str">
        <f>IF(A238="","",IF(J238="AUTO",H238,IF(J238="MANUAL",AK238,"")))</f>
        <v/>
      </c>
      <c r="L238" s="2" t="n"/>
      <c r="M238" s="2" t="n"/>
      <c r="N238" s="53" t="str">
        <f>IF(A238="","",IF(COUNTIFS('Human Operation Desktop'!$A$3:$A$502,A238,'Human Operation Desktop'!$I$3:$I$502,"&lt;&gt;APPLIED",'Human Operation Desktop'!$I$3:$I$502,"&lt;&gt;REJECTED")&gt;0,"YES","NO"))</f>
        <v/>
      </c>
      <c r="O238" s="2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76" t="n"/>
      <c r="AL238" s="3" t="n"/>
      <c r="AM238" s="3" t="n"/>
      <c r="AN238" s="3" t="n"/>
      <c r="AO238" s="3" t="n"/>
      <c r="AP238" s="3" t="n"/>
      <c r="AQ238" s="3" t="n"/>
      <c r="AR238" s="3" t="n"/>
      <c r="AS238" s="3" t="n"/>
    </row>
    <row r="239" ht="20" customHeight="1">
      <c r="A239" s="2" t="n"/>
      <c r="B239" s="2" t="n"/>
      <c r="C239" s="2" t="n"/>
      <c r="D239" s="2" t="n"/>
      <c r="E239" s="56" t="str">
        <f>IF(A239="","",IF(OR(AJ239="EXCLUDE",COUNTIF(AD239:AH239,"LOW")&gt;0),"EXCLUDE",IF(OR(AJ239&lt;&gt;"INCLUDE",F239&lt;&gt;"SUCCESS",D239&lt;&gt;"STORED",U239="",AP239="",AQ239="",AQ239="UNVERIFIED",AND(AP239="OFFICIAL_WEBSITE",Q239=""),AND(OR(AA239="Equipment manual / OEM instruction",AB239="Asset-specific normative"),OR(Z239&lt;&gt;"Manufacturer / supplier",AS239="",AC239=""))),"PENDING",IF(COUNTIF(AD239:AH239,"HIGH")=5,"INCLUDE","PENDING"))))</f>
        <v/>
      </c>
      <c r="F239" s="2" t="n"/>
      <c r="G239" s="81" t="n"/>
      <c r="H239" s="81" t="n"/>
      <c r="I239" s="2" t="n"/>
      <c r="J239" s="2" t="n"/>
      <c r="K239" s="73" t="str">
        <f>IF(A239="","",IF(J239="AUTO",H239,IF(J239="MANUAL",AK239,"")))</f>
        <v/>
      </c>
      <c r="L239" s="2" t="n"/>
      <c r="M239" s="2" t="n"/>
      <c r="N239" s="56" t="str">
        <f>IF(A239="","",IF(COUNTIFS('Human Operation Desktop'!$A$3:$A$502,A239,'Human Operation Desktop'!$I$3:$I$502,"&lt;&gt;APPLIED",'Human Operation Desktop'!$I$3:$I$502,"&lt;&gt;REJECTED")&gt;0,"YES","NO"))</f>
        <v/>
      </c>
      <c r="O239" s="2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76" t="n"/>
      <c r="AL239" s="3" t="n"/>
      <c r="AM239" s="3" t="n"/>
      <c r="AN239" s="3" t="n"/>
      <c r="AO239" s="3" t="n"/>
      <c r="AP239" s="3" t="n"/>
      <c r="AQ239" s="3" t="n"/>
      <c r="AR239" s="3" t="n"/>
      <c r="AS239" s="3" t="n"/>
    </row>
    <row r="240" ht="20" customHeight="1">
      <c r="A240" s="2" t="n"/>
      <c r="B240" s="2" t="n"/>
      <c r="C240" s="2" t="n"/>
      <c r="D240" s="2" t="n"/>
      <c r="E240" s="53" t="str">
        <f>IF(A240="","",IF(OR(AJ240="EXCLUDE",COUNTIF(AD240:AH240,"LOW")&gt;0),"EXCLUDE",IF(OR(AJ240&lt;&gt;"INCLUDE",F240&lt;&gt;"SUCCESS",D240&lt;&gt;"STORED",U240="",AP240="",AQ240="",AQ240="UNVERIFIED",AND(AP240="OFFICIAL_WEBSITE",Q240=""),AND(OR(AA240="Equipment manual / OEM instruction",AB240="Asset-specific normative"),OR(Z240&lt;&gt;"Manufacturer / supplier",AS240="",AC240=""))),"PENDING",IF(COUNTIF(AD240:AH240,"HIGH")=5,"INCLUDE","PENDING"))))</f>
        <v/>
      </c>
      <c r="F240" s="2" t="n"/>
      <c r="G240" s="81" t="n"/>
      <c r="H240" s="81" t="n"/>
      <c r="I240" s="2" t="n"/>
      <c r="J240" s="2" t="n"/>
      <c r="K240" s="75" t="str">
        <f>IF(A240="","",IF(J240="AUTO",H240,IF(J240="MANUAL",AK240,"")))</f>
        <v/>
      </c>
      <c r="L240" s="2" t="n"/>
      <c r="M240" s="2" t="n"/>
      <c r="N240" s="53" t="str">
        <f>IF(A240="","",IF(COUNTIFS('Human Operation Desktop'!$A$3:$A$502,A240,'Human Operation Desktop'!$I$3:$I$502,"&lt;&gt;APPLIED",'Human Operation Desktop'!$I$3:$I$502,"&lt;&gt;REJECTED")&gt;0,"YES","NO"))</f>
        <v/>
      </c>
      <c r="O240" s="2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76" t="n"/>
      <c r="AL240" s="3" t="n"/>
      <c r="AM240" s="3" t="n"/>
      <c r="AN240" s="3" t="n"/>
      <c r="AO240" s="3" t="n"/>
      <c r="AP240" s="3" t="n"/>
      <c r="AQ240" s="3" t="n"/>
      <c r="AR240" s="3" t="n"/>
      <c r="AS240" s="3" t="n"/>
    </row>
    <row r="241" ht="20" customHeight="1">
      <c r="A241" s="2" t="n"/>
      <c r="B241" s="2" t="n"/>
      <c r="C241" s="2" t="n"/>
      <c r="D241" s="2" t="n"/>
      <c r="E241" s="56" t="str">
        <f>IF(A241="","",IF(OR(AJ241="EXCLUDE",COUNTIF(AD241:AH241,"LOW")&gt;0),"EXCLUDE",IF(OR(AJ241&lt;&gt;"INCLUDE",F241&lt;&gt;"SUCCESS",D241&lt;&gt;"STORED",U241="",AP241="",AQ241="",AQ241="UNVERIFIED",AND(AP241="OFFICIAL_WEBSITE",Q241=""),AND(OR(AA241="Equipment manual / OEM instruction",AB241="Asset-specific normative"),OR(Z241&lt;&gt;"Manufacturer / supplier",AS241="",AC241=""))),"PENDING",IF(COUNTIF(AD241:AH241,"HIGH")=5,"INCLUDE","PENDING"))))</f>
        <v/>
      </c>
      <c r="F241" s="2" t="n"/>
      <c r="G241" s="81" t="n"/>
      <c r="H241" s="81" t="n"/>
      <c r="I241" s="2" t="n"/>
      <c r="J241" s="2" t="n"/>
      <c r="K241" s="73" t="str">
        <f>IF(A241="","",IF(J241="AUTO",H241,IF(J241="MANUAL",AK241,"")))</f>
        <v/>
      </c>
      <c r="L241" s="2" t="n"/>
      <c r="M241" s="2" t="n"/>
      <c r="N241" s="56" t="str">
        <f>IF(A241="","",IF(COUNTIFS('Human Operation Desktop'!$A$3:$A$502,A241,'Human Operation Desktop'!$I$3:$I$502,"&lt;&gt;APPLIED",'Human Operation Desktop'!$I$3:$I$502,"&lt;&gt;REJECTED")&gt;0,"YES","NO"))</f>
        <v/>
      </c>
      <c r="O241" s="2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76" t="n"/>
      <c r="AL241" s="3" t="n"/>
      <c r="AM241" s="3" t="n"/>
      <c r="AN241" s="3" t="n"/>
      <c r="AO241" s="3" t="n"/>
      <c r="AP241" s="3" t="n"/>
      <c r="AQ241" s="3" t="n"/>
      <c r="AR241" s="3" t="n"/>
      <c r="AS241" s="3" t="n"/>
    </row>
    <row r="242" ht="20" customHeight="1">
      <c r="A242" s="2" t="n"/>
      <c r="B242" s="2" t="n"/>
      <c r="C242" s="2" t="n"/>
      <c r="D242" s="2" t="n"/>
      <c r="E242" s="53" t="str">
        <f>IF(A242="","",IF(OR(AJ242="EXCLUDE",COUNTIF(AD242:AH242,"LOW")&gt;0),"EXCLUDE",IF(OR(AJ242&lt;&gt;"INCLUDE",F242&lt;&gt;"SUCCESS",D242&lt;&gt;"STORED",U242="",AP242="",AQ242="",AQ242="UNVERIFIED",AND(AP242="OFFICIAL_WEBSITE",Q242=""),AND(OR(AA242="Equipment manual / OEM instruction",AB242="Asset-specific normative"),OR(Z242&lt;&gt;"Manufacturer / supplier",AS242="",AC242=""))),"PENDING",IF(COUNTIF(AD242:AH242,"HIGH")=5,"INCLUDE","PENDING"))))</f>
        <v/>
      </c>
      <c r="F242" s="2" t="n"/>
      <c r="G242" s="81" t="n"/>
      <c r="H242" s="81" t="n"/>
      <c r="I242" s="2" t="n"/>
      <c r="J242" s="2" t="n"/>
      <c r="K242" s="75" t="str">
        <f>IF(A242="","",IF(J242="AUTO",H242,IF(J242="MANUAL",AK242,"")))</f>
        <v/>
      </c>
      <c r="L242" s="2" t="n"/>
      <c r="M242" s="2" t="n"/>
      <c r="N242" s="53" t="str">
        <f>IF(A242="","",IF(COUNTIFS('Human Operation Desktop'!$A$3:$A$502,A242,'Human Operation Desktop'!$I$3:$I$502,"&lt;&gt;APPLIED",'Human Operation Desktop'!$I$3:$I$502,"&lt;&gt;REJECTED")&gt;0,"YES","NO"))</f>
        <v/>
      </c>
      <c r="O242" s="2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76" t="n"/>
      <c r="AL242" s="3" t="n"/>
      <c r="AM242" s="3" t="n"/>
      <c r="AN242" s="3" t="n"/>
      <c r="AO242" s="3" t="n"/>
      <c r="AP242" s="3" t="n"/>
      <c r="AQ242" s="3" t="n"/>
      <c r="AR242" s="3" t="n"/>
      <c r="AS242" s="3" t="n"/>
    </row>
    <row r="243" ht="20" customHeight="1">
      <c r="A243" s="2" t="n"/>
      <c r="B243" s="2" t="n"/>
      <c r="C243" s="2" t="n"/>
      <c r="D243" s="2" t="n"/>
      <c r="E243" s="56" t="str">
        <f>IF(A243="","",IF(OR(AJ243="EXCLUDE",COUNTIF(AD243:AH243,"LOW")&gt;0),"EXCLUDE",IF(OR(AJ243&lt;&gt;"INCLUDE",F243&lt;&gt;"SUCCESS",D243&lt;&gt;"STORED",U243="",AP243="",AQ243="",AQ243="UNVERIFIED",AND(AP243="OFFICIAL_WEBSITE",Q243=""),AND(OR(AA243="Equipment manual / OEM instruction",AB243="Asset-specific normative"),OR(Z243&lt;&gt;"Manufacturer / supplier",AS243="",AC243=""))),"PENDING",IF(COUNTIF(AD243:AH243,"HIGH")=5,"INCLUDE","PENDING"))))</f>
        <v/>
      </c>
      <c r="F243" s="2" t="n"/>
      <c r="G243" s="81" t="n"/>
      <c r="H243" s="81" t="n"/>
      <c r="I243" s="2" t="n"/>
      <c r="J243" s="2" t="n"/>
      <c r="K243" s="73" t="str">
        <f>IF(A243="","",IF(J243="AUTO",H243,IF(J243="MANUAL",AK243,"")))</f>
        <v/>
      </c>
      <c r="L243" s="2" t="n"/>
      <c r="M243" s="2" t="n"/>
      <c r="N243" s="56" t="str">
        <f>IF(A243="","",IF(COUNTIFS('Human Operation Desktop'!$A$3:$A$502,A243,'Human Operation Desktop'!$I$3:$I$502,"&lt;&gt;APPLIED",'Human Operation Desktop'!$I$3:$I$502,"&lt;&gt;REJECTED")&gt;0,"YES","NO"))</f>
        <v/>
      </c>
      <c r="O243" s="2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76" t="n"/>
      <c r="AL243" s="3" t="n"/>
      <c r="AM243" s="3" t="n"/>
      <c r="AN243" s="3" t="n"/>
      <c r="AO243" s="3" t="n"/>
      <c r="AP243" s="3" t="n"/>
      <c r="AQ243" s="3" t="n"/>
      <c r="AR243" s="3" t="n"/>
      <c r="AS243" s="3" t="n"/>
    </row>
    <row r="244" ht="20" customHeight="1">
      <c r="A244" s="2" t="n"/>
      <c r="B244" s="2" t="n"/>
      <c r="C244" s="2" t="n"/>
      <c r="D244" s="2" t="n"/>
      <c r="E244" s="53" t="str">
        <f>IF(A244="","",IF(OR(AJ244="EXCLUDE",COUNTIF(AD244:AH244,"LOW")&gt;0),"EXCLUDE",IF(OR(AJ244&lt;&gt;"INCLUDE",F244&lt;&gt;"SUCCESS",D244&lt;&gt;"STORED",U244="",AP244="",AQ244="",AQ244="UNVERIFIED",AND(AP244="OFFICIAL_WEBSITE",Q244=""),AND(OR(AA244="Equipment manual / OEM instruction",AB244="Asset-specific normative"),OR(Z244&lt;&gt;"Manufacturer / supplier",AS244="",AC244=""))),"PENDING",IF(COUNTIF(AD244:AH244,"HIGH")=5,"INCLUDE","PENDING"))))</f>
        <v/>
      </c>
      <c r="F244" s="2" t="n"/>
      <c r="G244" s="81" t="n"/>
      <c r="H244" s="81" t="n"/>
      <c r="I244" s="2" t="n"/>
      <c r="J244" s="2" t="n"/>
      <c r="K244" s="75" t="str">
        <f>IF(A244="","",IF(J244="AUTO",H244,IF(J244="MANUAL",AK244,"")))</f>
        <v/>
      </c>
      <c r="L244" s="2" t="n"/>
      <c r="M244" s="2" t="n"/>
      <c r="N244" s="53" t="str">
        <f>IF(A244="","",IF(COUNTIFS('Human Operation Desktop'!$A$3:$A$502,A244,'Human Operation Desktop'!$I$3:$I$502,"&lt;&gt;APPLIED",'Human Operation Desktop'!$I$3:$I$502,"&lt;&gt;REJECTED")&gt;0,"YES","NO"))</f>
        <v/>
      </c>
      <c r="O244" s="2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76" t="n"/>
      <c r="AL244" s="3" t="n"/>
      <c r="AM244" s="3" t="n"/>
      <c r="AN244" s="3" t="n"/>
      <c r="AO244" s="3" t="n"/>
      <c r="AP244" s="3" t="n"/>
      <c r="AQ244" s="3" t="n"/>
      <c r="AR244" s="3" t="n"/>
      <c r="AS244" s="3" t="n"/>
    </row>
    <row r="245" ht="20" customHeight="1">
      <c r="A245" s="2" t="n"/>
      <c r="B245" s="2" t="n"/>
      <c r="C245" s="2" t="n"/>
      <c r="D245" s="2" t="n"/>
      <c r="E245" s="56" t="str">
        <f>IF(A245="","",IF(OR(AJ245="EXCLUDE",COUNTIF(AD245:AH245,"LOW")&gt;0),"EXCLUDE",IF(OR(AJ245&lt;&gt;"INCLUDE",F245&lt;&gt;"SUCCESS",D245&lt;&gt;"STORED",U245="",AP245="",AQ245="",AQ245="UNVERIFIED",AND(AP245="OFFICIAL_WEBSITE",Q245=""),AND(OR(AA245="Equipment manual / OEM instruction",AB245="Asset-specific normative"),OR(Z245&lt;&gt;"Manufacturer / supplier",AS245="",AC245=""))),"PENDING",IF(COUNTIF(AD245:AH245,"HIGH")=5,"INCLUDE","PENDING"))))</f>
        <v/>
      </c>
      <c r="F245" s="2" t="n"/>
      <c r="G245" s="81" t="n"/>
      <c r="H245" s="81" t="n"/>
      <c r="I245" s="2" t="n"/>
      <c r="J245" s="2" t="n"/>
      <c r="K245" s="73" t="str">
        <f>IF(A245="","",IF(J245="AUTO",H245,IF(J245="MANUAL",AK245,"")))</f>
        <v/>
      </c>
      <c r="L245" s="2" t="n"/>
      <c r="M245" s="2" t="n"/>
      <c r="N245" s="56" t="str">
        <f>IF(A245="","",IF(COUNTIFS('Human Operation Desktop'!$A$3:$A$502,A245,'Human Operation Desktop'!$I$3:$I$502,"&lt;&gt;APPLIED",'Human Operation Desktop'!$I$3:$I$502,"&lt;&gt;REJECTED")&gt;0,"YES","NO"))</f>
        <v/>
      </c>
      <c r="O245" s="2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76" t="n"/>
      <c r="AL245" s="3" t="n"/>
      <c r="AM245" s="3" t="n"/>
      <c r="AN245" s="3" t="n"/>
      <c r="AO245" s="3" t="n"/>
      <c r="AP245" s="3" t="n"/>
      <c r="AQ245" s="3" t="n"/>
      <c r="AR245" s="3" t="n"/>
      <c r="AS245" s="3" t="n"/>
    </row>
    <row r="246" ht="20" customHeight="1">
      <c r="A246" s="2" t="n"/>
      <c r="B246" s="2" t="n"/>
      <c r="C246" s="2" t="n"/>
      <c r="D246" s="2" t="n"/>
      <c r="E246" s="53" t="str">
        <f>IF(A246="","",IF(OR(AJ246="EXCLUDE",COUNTIF(AD246:AH246,"LOW")&gt;0),"EXCLUDE",IF(OR(AJ246&lt;&gt;"INCLUDE",F246&lt;&gt;"SUCCESS",D246&lt;&gt;"STORED",U246="",AP246="",AQ246="",AQ246="UNVERIFIED",AND(AP246="OFFICIAL_WEBSITE",Q246=""),AND(OR(AA246="Equipment manual / OEM instruction",AB246="Asset-specific normative"),OR(Z246&lt;&gt;"Manufacturer / supplier",AS246="",AC246=""))),"PENDING",IF(COUNTIF(AD246:AH246,"HIGH")=5,"INCLUDE","PENDING"))))</f>
        <v/>
      </c>
      <c r="F246" s="2" t="n"/>
      <c r="G246" s="81" t="n"/>
      <c r="H246" s="81" t="n"/>
      <c r="I246" s="2" t="n"/>
      <c r="J246" s="2" t="n"/>
      <c r="K246" s="75" t="str">
        <f>IF(A246="","",IF(J246="AUTO",H246,IF(J246="MANUAL",AK246,"")))</f>
        <v/>
      </c>
      <c r="L246" s="2" t="n"/>
      <c r="M246" s="2" t="n"/>
      <c r="N246" s="53" t="str">
        <f>IF(A246="","",IF(COUNTIFS('Human Operation Desktop'!$A$3:$A$502,A246,'Human Operation Desktop'!$I$3:$I$502,"&lt;&gt;APPLIED",'Human Operation Desktop'!$I$3:$I$502,"&lt;&gt;REJECTED")&gt;0,"YES","NO"))</f>
        <v/>
      </c>
      <c r="O246" s="2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76" t="n"/>
      <c r="AL246" s="3" t="n"/>
      <c r="AM246" s="3" t="n"/>
      <c r="AN246" s="3" t="n"/>
      <c r="AO246" s="3" t="n"/>
      <c r="AP246" s="3" t="n"/>
      <c r="AQ246" s="3" t="n"/>
      <c r="AR246" s="3" t="n"/>
      <c r="AS246" s="3" t="n"/>
    </row>
    <row r="247" ht="20" customHeight="1">
      <c r="A247" s="2" t="n"/>
      <c r="B247" s="2" t="n"/>
      <c r="C247" s="2" t="n"/>
      <c r="D247" s="2" t="n"/>
      <c r="E247" s="56" t="str">
        <f>IF(A247="","",IF(OR(AJ247="EXCLUDE",COUNTIF(AD247:AH247,"LOW")&gt;0),"EXCLUDE",IF(OR(AJ247&lt;&gt;"INCLUDE",F247&lt;&gt;"SUCCESS",D247&lt;&gt;"STORED",U247="",AP247="",AQ247="",AQ247="UNVERIFIED",AND(AP247="OFFICIAL_WEBSITE",Q247=""),AND(OR(AA247="Equipment manual / OEM instruction",AB247="Asset-specific normative"),OR(Z247&lt;&gt;"Manufacturer / supplier",AS247="",AC247=""))),"PENDING",IF(COUNTIF(AD247:AH247,"HIGH")=5,"INCLUDE","PENDING"))))</f>
        <v/>
      </c>
      <c r="F247" s="2" t="n"/>
      <c r="G247" s="81" t="n"/>
      <c r="H247" s="81" t="n"/>
      <c r="I247" s="2" t="n"/>
      <c r="J247" s="2" t="n"/>
      <c r="K247" s="73" t="str">
        <f>IF(A247="","",IF(J247="AUTO",H247,IF(J247="MANUAL",AK247,"")))</f>
        <v/>
      </c>
      <c r="L247" s="2" t="n"/>
      <c r="M247" s="2" t="n"/>
      <c r="N247" s="56" t="str">
        <f>IF(A247="","",IF(COUNTIFS('Human Operation Desktop'!$A$3:$A$502,A247,'Human Operation Desktop'!$I$3:$I$502,"&lt;&gt;APPLIED",'Human Operation Desktop'!$I$3:$I$502,"&lt;&gt;REJECTED")&gt;0,"YES","NO"))</f>
        <v/>
      </c>
      <c r="O247" s="2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76" t="n"/>
      <c r="AL247" s="3" t="n"/>
      <c r="AM247" s="3" t="n"/>
      <c r="AN247" s="3" t="n"/>
      <c r="AO247" s="3" t="n"/>
      <c r="AP247" s="3" t="n"/>
      <c r="AQ247" s="3" t="n"/>
      <c r="AR247" s="3" t="n"/>
      <c r="AS247" s="3" t="n"/>
    </row>
    <row r="248" ht="20" customHeight="1">
      <c r="A248" s="2" t="n"/>
      <c r="B248" s="2" t="n"/>
      <c r="C248" s="2" t="n"/>
      <c r="D248" s="2" t="n"/>
      <c r="E248" s="53" t="str">
        <f>IF(A248="","",IF(OR(AJ248="EXCLUDE",COUNTIF(AD248:AH248,"LOW")&gt;0),"EXCLUDE",IF(OR(AJ248&lt;&gt;"INCLUDE",F248&lt;&gt;"SUCCESS",D248&lt;&gt;"STORED",U248="",AP248="",AQ248="",AQ248="UNVERIFIED",AND(AP248="OFFICIAL_WEBSITE",Q248=""),AND(OR(AA248="Equipment manual / OEM instruction",AB248="Asset-specific normative"),OR(Z248&lt;&gt;"Manufacturer / supplier",AS248="",AC248=""))),"PENDING",IF(COUNTIF(AD248:AH248,"HIGH")=5,"INCLUDE","PENDING"))))</f>
        <v/>
      </c>
      <c r="F248" s="2" t="n"/>
      <c r="G248" s="81" t="n"/>
      <c r="H248" s="81" t="n"/>
      <c r="I248" s="2" t="n"/>
      <c r="J248" s="2" t="n"/>
      <c r="K248" s="75" t="str">
        <f>IF(A248="","",IF(J248="AUTO",H248,IF(J248="MANUAL",AK248,"")))</f>
        <v/>
      </c>
      <c r="L248" s="2" t="n"/>
      <c r="M248" s="2" t="n"/>
      <c r="N248" s="53" t="str">
        <f>IF(A248="","",IF(COUNTIFS('Human Operation Desktop'!$A$3:$A$502,A248,'Human Operation Desktop'!$I$3:$I$502,"&lt;&gt;APPLIED",'Human Operation Desktop'!$I$3:$I$502,"&lt;&gt;REJECTED")&gt;0,"YES","NO"))</f>
        <v/>
      </c>
      <c r="O248" s="2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76" t="n"/>
      <c r="AL248" s="3" t="n"/>
      <c r="AM248" s="3" t="n"/>
      <c r="AN248" s="3" t="n"/>
      <c r="AO248" s="3" t="n"/>
      <c r="AP248" s="3" t="n"/>
      <c r="AQ248" s="3" t="n"/>
      <c r="AR248" s="3" t="n"/>
      <c r="AS248" s="3" t="n"/>
    </row>
    <row r="249" ht="20" customHeight="1">
      <c r="A249" s="2" t="n"/>
      <c r="B249" s="2" t="n"/>
      <c r="C249" s="2" t="n"/>
      <c r="D249" s="2" t="n"/>
      <c r="E249" s="56" t="str">
        <f>IF(A249="","",IF(OR(AJ249="EXCLUDE",COUNTIF(AD249:AH249,"LOW")&gt;0),"EXCLUDE",IF(OR(AJ249&lt;&gt;"INCLUDE",F249&lt;&gt;"SUCCESS",D249&lt;&gt;"STORED",U249="",AP249="",AQ249="",AQ249="UNVERIFIED",AND(AP249="OFFICIAL_WEBSITE",Q249=""),AND(OR(AA249="Equipment manual / OEM instruction",AB249="Asset-specific normative"),OR(Z249&lt;&gt;"Manufacturer / supplier",AS249="",AC249=""))),"PENDING",IF(COUNTIF(AD249:AH249,"HIGH")=5,"INCLUDE","PENDING"))))</f>
        <v/>
      </c>
      <c r="F249" s="2" t="n"/>
      <c r="G249" s="81" t="n"/>
      <c r="H249" s="81" t="n"/>
      <c r="I249" s="2" t="n"/>
      <c r="J249" s="2" t="n"/>
      <c r="K249" s="73" t="str">
        <f>IF(A249="","",IF(J249="AUTO",H249,IF(J249="MANUAL",AK249,"")))</f>
        <v/>
      </c>
      <c r="L249" s="2" t="n"/>
      <c r="M249" s="2" t="n"/>
      <c r="N249" s="56" t="str">
        <f>IF(A249="","",IF(COUNTIFS('Human Operation Desktop'!$A$3:$A$502,A249,'Human Operation Desktop'!$I$3:$I$502,"&lt;&gt;APPLIED",'Human Operation Desktop'!$I$3:$I$502,"&lt;&gt;REJECTED")&gt;0,"YES","NO"))</f>
        <v/>
      </c>
      <c r="O249" s="2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76" t="n"/>
      <c r="AL249" s="3" t="n"/>
      <c r="AM249" s="3" t="n"/>
      <c r="AN249" s="3" t="n"/>
      <c r="AO249" s="3" t="n"/>
      <c r="AP249" s="3" t="n"/>
      <c r="AQ249" s="3" t="n"/>
      <c r="AR249" s="3" t="n"/>
      <c r="AS249" s="3" t="n"/>
    </row>
    <row r="250" ht="20" customHeight="1">
      <c r="A250" s="2" t="n"/>
      <c r="B250" s="2" t="n"/>
      <c r="C250" s="2" t="n"/>
      <c r="D250" s="2" t="n"/>
      <c r="E250" s="53" t="str">
        <f>IF(A250="","",IF(OR(AJ250="EXCLUDE",COUNTIF(AD250:AH250,"LOW")&gt;0),"EXCLUDE",IF(OR(AJ250&lt;&gt;"INCLUDE",F250&lt;&gt;"SUCCESS",D250&lt;&gt;"STORED",U250="",AP250="",AQ250="",AQ250="UNVERIFIED",AND(AP250="OFFICIAL_WEBSITE",Q250=""),AND(OR(AA250="Equipment manual / OEM instruction",AB250="Asset-specific normative"),OR(Z250&lt;&gt;"Manufacturer / supplier",AS250="",AC250=""))),"PENDING",IF(COUNTIF(AD250:AH250,"HIGH")=5,"INCLUDE","PENDING"))))</f>
        <v/>
      </c>
      <c r="F250" s="2" t="n"/>
      <c r="G250" s="81" t="n"/>
      <c r="H250" s="81" t="n"/>
      <c r="I250" s="2" t="n"/>
      <c r="J250" s="2" t="n"/>
      <c r="K250" s="75" t="str">
        <f>IF(A250="","",IF(J250="AUTO",H250,IF(J250="MANUAL",AK250,"")))</f>
        <v/>
      </c>
      <c r="L250" s="2" t="n"/>
      <c r="M250" s="2" t="n"/>
      <c r="N250" s="53" t="str">
        <f>IF(A250="","",IF(COUNTIFS('Human Operation Desktop'!$A$3:$A$502,A250,'Human Operation Desktop'!$I$3:$I$502,"&lt;&gt;APPLIED",'Human Operation Desktop'!$I$3:$I$502,"&lt;&gt;REJECTED")&gt;0,"YES","NO"))</f>
        <v/>
      </c>
      <c r="O250" s="2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76" t="n"/>
      <c r="AL250" s="3" t="n"/>
      <c r="AM250" s="3" t="n"/>
      <c r="AN250" s="3" t="n"/>
      <c r="AO250" s="3" t="n"/>
      <c r="AP250" s="3" t="n"/>
      <c r="AQ250" s="3" t="n"/>
      <c r="AR250" s="3" t="n"/>
      <c r="AS250" s="3" t="n"/>
    </row>
    <row r="251" ht="20" customHeight="1">
      <c r="A251" s="2" t="n"/>
      <c r="B251" s="2" t="n"/>
      <c r="C251" s="2" t="n"/>
      <c r="D251" s="2" t="n"/>
      <c r="E251" s="56" t="str">
        <f>IF(A251="","",IF(OR(AJ251="EXCLUDE",COUNTIF(AD251:AH251,"LOW")&gt;0),"EXCLUDE",IF(OR(AJ251&lt;&gt;"INCLUDE",F251&lt;&gt;"SUCCESS",D251&lt;&gt;"STORED",U251="",AP251="",AQ251="",AQ251="UNVERIFIED",AND(AP251="OFFICIAL_WEBSITE",Q251=""),AND(OR(AA251="Equipment manual / OEM instruction",AB251="Asset-specific normative"),OR(Z251&lt;&gt;"Manufacturer / supplier",AS251="",AC251=""))),"PENDING",IF(COUNTIF(AD251:AH251,"HIGH")=5,"INCLUDE","PENDING"))))</f>
        <v/>
      </c>
      <c r="F251" s="2" t="n"/>
      <c r="G251" s="81" t="n"/>
      <c r="H251" s="81" t="n"/>
      <c r="I251" s="2" t="n"/>
      <c r="J251" s="2" t="n"/>
      <c r="K251" s="73" t="str">
        <f>IF(A251="","",IF(J251="AUTO",H251,IF(J251="MANUAL",AK251,"")))</f>
        <v/>
      </c>
      <c r="L251" s="2" t="n"/>
      <c r="M251" s="2" t="n"/>
      <c r="N251" s="56" t="str">
        <f>IF(A251="","",IF(COUNTIFS('Human Operation Desktop'!$A$3:$A$502,A251,'Human Operation Desktop'!$I$3:$I$502,"&lt;&gt;APPLIED",'Human Operation Desktop'!$I$3:$I$502,"&lt;&gt;REJECTED")&gt;0,"YES","NO"))</f>
        <v/>
      </c>
      <c r="O251" s="2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76" t="n"/>
      <c r="AL251" s="3" t="n"/>
      <c r="AM251" s="3" t="n"/>
      <c r="AN251" s="3" t="n"/>
      <c r="AO251" s="3" t="n"/>
      <c r="AP251" s="3" t="n"/>
      <c r="AQ251" s="3" t="n"/>
      <c r="AR251" s="3" t="n"/>
      <c r="AS251" s="3" t="n"/>
    </row>
    <row r="252" ht="20" customHeight="1">
      <c r="A252" s="2" t="n"/>
      <c r="B252" s="2" t="n"/>
      <c r="C252" s="2" t="n"/>
      <c r="D252" s="2" t="n"/>
      <c r="E252" s="53" t="str">
        <f>IF(A252="","",IF(OR(AJ252="EXCLUDE",COUNTIF(AD252:AH252,"LOW")&gt;0),"EXCLUDE",IF(OR(AJ252&lt;&gt;"INCLUDE",F252&lt;&gt;"SUCCESS",D252&lt;&gt;"STORED",U252="",AP252="",AQ252="",AQ252="UNVERIFIED",AND(AP252="OFFICIAL_WEBSITE",Q252=""),AND(OR(AA252="Equipment manual / OEM instruction",AB252="Asset-specific normative"),OR(Z252&lt;&gt;"Manufacturer / supplier",AS252="",AC252=""))),"PENDING",IF(COUNTIF(AD252:AH252,"HIGH")=5,"INCLUDE","PENDING"))))</f>
        <v/>
      </c>
      <c r="F252" s="2" t="n"/>
      <c r="G252" s="81" t="n"/>
      <c r="H252" s="81" t="n"/>
      <c r="I252" s="2" t="n"/>
      <c r="J252" s="2" t="n"/>
      <c r="K252" s="75" t="str">
        <f>IF(A252="","",IF(J252="AUTO",H252,IF(J252="MANUAL",AK252,"")))</f>
        <v/>
      </c>
      <c r="L252" s="2" t="n"/>
      <c r="M252" s="2" t="n"/>
      <c r="N252" s="53" t="str">
        <f>IF(A252="","",IF(COUNTIFS('Human Operation Desktop'!$A$3:$A$502,A252,'Human Operation Desktop'!$I$3:$I$502,"&lt;&gt;APPLIED",'Human Operation Desktop'!$I$3:$I$502,"&lt;&gt;REJECTED")&gt;0,"YES","NO"))</f>
        <v/>
      </c>
      <c r="O252" s="2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76" t="n"/>
      <c r="AL252" s="3" t="n"/>
      <c r="AM252" s="3" t="n"/>
      <c r="AN252" s="3" t="n"/>
      <c r="AO252" s="3" t="n"/>
      <c r="AP252" s="3" t="n"/>
      <c r="AQ252" s="3" t="n"/>
      <c r="AR252" s="3" t="n"/>
      <c r="AS252" s="3" t="n"/>
    </row>
    <row r="253" ht="20" customHeight="1">
      <c r="A253" s="2" t="n"/>
      <c r="B253" s="2" t="n"/>
      <c r="C253" s="2" t="n"/>
      <c r="D253" s="2" t="n"/>
      <c r="E253" s="56" t="str">
        <f>IF(A253="","",IF(OR(AJ253="EXCLUDE",COUNTIF(AD253:AH253,"LOW")&gt;0),"EXCLUDE",IF(OR(AJ253&lt;&gt;"INCLUDE",F253&lt;&gt;"SUCCESS",D253&lt;&gt;"STORED",U253="",AP253="",AQ253="",AQ253="UNVERIFIED",AND(AP253="OFFICIAL_WEBSITE",Q253=""),AND(OR(AA253="Equipment manual / OEM instruction",AB253="Asset-specific normative"),OR(Z253&lt;&gt;"Manufacturer / supplier",AS253="",AC253=""))),"PENDING",IF(COUNTIF(AD253:AH253,"HIGH")=5,"INCLUDE","PENDING"))))</f>
        <v/>
      </c>
      <c r="F253" s="2" t="n"/>
      <c r="G253" s="81" t="n"/>
      <c r="H253" s="81" t="n"/>
      <c r="I253" s="2" t="n"/>
      <c r="J253" s="2" t="n"/>
      <c r="K253" s="73" t="str">
        <f>IF(A253="","",IF(J253="AUTO",H253,IF(J253="MANUAL",AK253,"")))</f>
        <v/>
      </c>
      <c r="L253" s="2" t="n"/>
      <c r="M253" s="2" t="n"/>
      <c r="N253" s="56" t="str">
        <f>IF(A253="","",IF(COUNTIFS('Human Operation Desktop'!$A$3:$A$502,A253,'Human Operation Desktop'!$I$3:$I$502,"&lt;&gt;APPLIED",'Human Operation Desktop'!$I$3:$I$502,"&lt;&gt;REJECTED")&gt;0,"YES","NO"))</f>
        <v/>
      </c>
      <c r="O253" s="2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76" t="n"/>
      <c r="AL253" s="3" t="n"/>
      <c r="AM253" s="3" t="n"/>
      <c r="AN253" s="3" t="n"/>
      <c r="AO253" s="3" t="n"/>
      <c r="AP253" s="3" t="n"/>
      <c r="AQ253" s="3" t="n"/>
      <c r="AR253" s="3" t="n"/>
      <c r="AS253" s="3" t="n"/>
    </row>
    <row r="254" ht="20" customHeight="1">
      <c r="A254" s="2" t="n"/>
      <c r="B254" s="2" t="n"/>
      <c r="C254" s="2" t="n"/>
      <c r="D254" s="2" t="n"/>
      <c r="E254" s="53" t="str">
        <f>IF(A254="","",IF(OR(AJ254="EXCLUDE",COUNTIF(AD254:AH254,"LOW")&gt;0),"EXCLUDE",IF(OR(AJ254&lt;&gt;"INCLUDE",F254&lt;&gt;"SUCCESS",D254&lt;&gt;"STORED",U254="",AP254="",AQ254="",AQ254="UNVERIFIED",AND(AP254="OFFICIAL_WEBSITE",Q254=""),AND(OR(AA254="Equipment manual / OEM instruction",AB254="Asset-specific normative"),OR(Z254&lt;&gt;"Manufacturer / supplier",AS254="",AC254=""))),"PENDING",IF(COUNTIF(AD254:AH254,"HIGH")=5,"INCLUDE","PENDING"))))</f>
        <v/>
      </c>
      <c r="F254" s="2" t="n"/>
      <c r="G254" s="81" t="n"/>
      <c r="H254" s="81" t="n"/>
      <c r="I254" s="2" t="n"/>
      <c r="J254" s="2" t="n"/>
      <c r="K254" s="75" t="str">
        <f>IF(A254="","",IF(J254="AUTO",H254,IF(J254="MANUAL",AK254,"")))</f>
        <v/>
      </c>
      <c r="L254" s="2" t="n"/>
      <c r="M254" s="2" t="n"/>
      <c r="N254" s="53" t="str">
        <f>IF(A254="","",IF(COUNTIFS('Human Operation Desktop'!$A$3:$A$502,A254,'Human Operation Desktop'!$I$3:$I$502,"&lt;&gt;APPLIED",'Human Operation Desktop'!$I$3:$I$502,"&lt;&gt;REJECTED")&gt;0,"YES","NO"))</f>
        <v/>
      </c>
      <c r="O254" s="2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76" t="n"/>
      <c r="AL254" s="3" t="n"/>
      <c r="AM254" s="3" t="n"/>
      <c r="AN254" s="3" t="n"/>
      <c r="AO254" s="3" t="n"/>
      <c r="AP254" s="3" t="n"/>
      <c r="AQ254" s="3" t="n"/>
      <c r="AR254" s="3" t="n"/>
      <c r="AS254" s="3" t="n"/>
    </row>
    <row r="255" ht="20" customHeight="1">
      <c r="A255" s="2" t="n"/>
      <c r="B255" s="2" t="n"/>
      <c r="C255" s="2" t="n"/>
      <c r="D255" s="2" t="n"/>
      <c r="E255" s="56" t="str">
        <f>IF(A255="","",IF(OR(AJ255="EXCLUDE",COUNTIF(AD255:AH255,"LOW")&gt;0),"EXCLUDE",IF(OR(AJ255&lt;&gt;"INCLUDE",F255&lt;&gt;"SUCCESS",D255&lt;&gt;"STORED",U255="",AP255="",AQ255="",AQ255="UNVERIFIED",AND(AP255="OFFICIAL_WEBSITE",Q255=""),AND(OR(AA255="Equipment manual / OEM instruction",AB255="Asset-specific normative"),OR(Z255&lt;&gt;"Manufacturer / supplier",AS255="",AC255=""))),"PENDING",IF(COUNTIF(AD255:AH255,"HIGH")=5,"INCLUDE","PENDING"))))</f>
        <v/>
      </c>
      <c r="F255" s="2" t="n"/>
      <c r="G255" s="81" t="n"/>
      <c r="H255" s="81" t="n"/>
      <c r="I255" s="2" t="n"/>
      <c r="J255" s="2" t="n"/>
      <c r="K255" s="73" t="str">
        <f>IF(A255="","",IF(J255="AUTO",H255,IF(J255="MANUAL",AK255,"")))</f>
        <v/>
      </c>
      <c r="L255" s="2" t="n"/>
      <c r="M255" s="2" t="n"/>
      <c r="N255" s="56" t="str">
        <f>IF(A255="","",IF(COUNTIFS('Human Operation Desktop'!$A$3:$A$502,A255,'Human Operation Desktop'!$I$3:$I$502,"&lt;&gt;APPLIED",'Human Operation Desktop'!$I$3:$I$502,"&lt;&gt;REJECTED")&gt;0,"YES","NO"))</f>
        <v/>
      </c>
      <c r="O255" s="2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76" t="n"/>
      <c r="AL255" s="3" t="n"/>
      <c r="AM255" s="3" t="n"/>
      <c r="AN255" s="3" t="n"/>
      <c r="AO255" s="3" t="n"/>
      <c r="AP255" s="3" t="n"/>
      <c r="AQ255" s="3" t="n"/>
      <c r="AR255" s="3" t="n"/>
      <c r="AS255" s="3" t="n"/>
    </row>
    <row r="256" ht="20" customHeight="1">
      <c r="A256" s="2" t="n"/>
      <c r="B256" s="2" t="n"/>
      <c r="C256" s="2" t="n"/>
      <c r="D256" s="2" t="n"/>
      <c r="E256" s="53" t="str">
        <f>IF(A256="","",IF(OR(AJ256="EXCLUDE",COUNTIF(AD256:AH256,"LOW")&gt;0),"EXCLUDE",IF(OR(AJ256&lt;&gt;"INCLUDE",F256&lt;&gt;"SUCCESS",D256&lt;&gt;"STORED",U256="",AP256="",AQ256="",AQ256="UNVERIFIED",AND(AP256="OFFICIAL_WEBSITE",Q256=""),AND(OR(AA256="Equipment manual / OEM instruction",AB256="Asset-specific normative"),OR(Z256&lt;&gt;"Manufacturer / supplier",AS256="",AC256=""))),"PENDING",IF(COUNTIF(AD256:AH256,"HIGH")=5,"INCLUDE","PENDING"))))</f>
        <v/>
      </c>
      <c r="F256" s="2" t="n"/>
      <c r="G256" s="81" t="n"/>
      <c r="H256" s="81" t="n"/>
      <c r="I256" s="2" t="n"/>
      <c r="J256" s="2" t="n"/>
      <c r="K256" s="75" t="str">
        <f>IF(A256="","",IF(J256="AUTO",H256,IF(J256="MANUAL",AK256,"")))</f>
        <v/>
      </c>
      <c r="L256" s="2" t="n"/>
      <c r="M256" s="2" t="n"/>
      <c r="N256" s="53" t="str">
        <f>IF(A256="","",IF(COUNTIFS('Human Operation Desktop'!$A$3:$A$502,A256,'Human Operation Desktop'!$I$3:$I$502,"&lt;&gt;APPLIED",'Human Operation Desktop'!$I$3:$I$502,"&lt;&gt;REJECTED")&gt;0,"YES","NO"))</f>
        <v/>
      </c>
      <c r="O256" s="2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76" t="n"/>
      <c r="AL256" s="3" t="n"/>
      <c r="AM256" s="3" t="n"/>
      <c r="AN256" s="3" t="n"/>
      <c r="AO256" s="3" t="n"/>
      <c r="AP256" s="3" t="n"/>
      <c r="AQ256" s="3" t="n"/>
      <c r="AR256" s="3" t="n"/>
      <c r="AS256" s="3" t="n"/>
    </row>
    <row r="257" ht="20" customHeight="1">
      <c r="A257" s="2" t="n"/>
      <c r="B257" s="2" t="n"/>
      <c r="C257" s="2" t="n"/>
      <c r="D257" s="2" t="n"/>
      <c r="E257" s="56" t="str">
        <f>IF(A257="","",IF(OR(AJ257="EXCLUDE",COUNTIF(AD257:AH257,"LOW")&gt;0),"EXCLUDE",IF(OR(AJ257&lt;&gt;"INCLUDE",F257&lt;&gt;"SUCCESS",D257&lt;&gt;"STORED",U257="",AP257="",AQ257="",AQ257="UNVERIFIED",AND(AP257="OFFICIAL_WEBSITE",Q257=""),AND(OR(AA257="Equipment manual / OEM instruction",AB257="Asset-specific normative"),OR(Z257&lt;&gt;"Manufacturer / supplier",AS257="",AC257=""))),"PENDING",IF(COUNTIF(AD257:AH257,"HIGH")=5,"INCLUDE","PENDING"))))</f>
        <v/>
      </c>
      <c r="F257" s="2" t="n"/>
      <c r="G257" s="81" t="n"/>
      <c r="H257" s="81" t="n"/>
      <c r="I257" s="2" t="n"/>
      <c r="J257" s="2" t="n"/>
      <c r="K257" s="73" t="str">
        <f>IF(A257="","",IF(J257="AUTO",H257,IF(J257="MANUAL",AK257,"")))</f>
        <v/>
      </c>
      <c r="L257" s="2" t="n"/>
      <c r="M257" s="2" t="n"/>
      <c r="N257" s="56" t="str">
        <f>IF(A257="","",IF(COUNTIFS('Human Operation Desktop'!$A$3:$A$502,A257,'Human Operation Desktop'!$I$3:$I$502,"&lt;&gt;APPLIED",'Human Operation Desktop'!$I$3:$I$502,"&lt;&gt;REJECTED")&gt;0,"YES","NO"))</f>
        <v/>
      </c>
      <c r="O257" s="2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76" t="n"/>
      <c r="AL257" s="3" t="n"/>
      <c r="AM257" s="3" t="n"/>
      <c r="AN257" s="3" t="n"/>
      <c r="AO257" s="3" t="n"/>
      <c r="AP257" s="3" t="n"/>
      <c r="AQ257" s="3" t="n"/>
      <c r="AR257" s="3" t="n"/>
      <c r="AS257" s="3" t="n"/>
    </row>
    <row r="258" ht="20" customHeight="1">
      <c r="A258" s="2" t="n"/>
      <c r="B258" s="2" t="n"/>
      <c r="C258" s="2" t="n"/>
      <c r="D258" s="2" t="n"/>
      <c r="E258" s="53" t="str">
        <f>IF(A258="","",IF(OR(AJ258="EXCLUDE",COUNTIF(AD258:AH258,"LOW")&gt;0),"EXCLUDE",IF(OR(AJ258&lt;&gt;"INCLUDE",F258&lt;&gt;"SUCCESS",D258&lt;&gt;"STORED",U258="",AP258="",AQ258="",AQ258="UNVERIFIED",AND(AP258="OFFICIAL_WEBSITE",Q258=""),AND(OR(AA258="Equipment manual / OEM instruction",AB258="Asset-specific normative"),OR(Z258&lt;&gt;"Manufacturer / supplier",AS258="",AC258=""))),"PENDING",IF(COUNTIF(AD258:AH258,"HIGH")=5,"INCLUDE","PENDING"))))</f>
        <v/>
      </c>
      <c r="F258" s="2" t="n"/>
      <c r="G258" s="81" t="n"/>
      <c r="H258" s="81" t="n"/>
      <c r="I258" s="2" t="n"/>
      <c r="J258" s="2" t="n"/>
      <c r="K258" s="75" t="str">
        <f>IF(A258="","",IF(J258="AUTO",H258,IF(J258="MANUAL",AK258,"")))</f>
        <v/>
      </c>
      <c r="L258" s="2" t="n"/>
      <c r="M258" s="2" t="n"/>
      <c r="N258" s="53" t="str">
        <f>IF(A258="","",IF(COUNTIFS('Human Operation Desktop'!$A$3:$A$502,A258,'Human Operation Desktop'!$I$3:$I$502,"&lt;&gt;APPLIED",'Human Operation Desktop'!$I$3:$I$502,"&lt;&gt;REJECTED")&gt;0,"YES","NO"))</f>
        <v/>
      </c>
      <c r="O258" s="2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76" t="n"/>
      <c r="AL258" s="3" t="n"/>
      <c r="AM258" s="3" t="n"/>
      <c r="AN258" s="3" t="n"/>
      <c r="AO258" s="3" t="n"/>
      <c r="AP258" s="3" t="n"/>
      <c r="AQ258" s="3" t="n"/>
      <c r="AR258" s="3" t="n"/>
      <c r="AS258" s="3" t="n"/>
    </row>
    <row r="259" ht="20" customHeight="1">
      <c r="A259" s="2" t="n"/>
      <c r="B259" s="2" t="n"/>
      <c r="C259" s="2" t="n"/>
      <c r="D259" s="2" t="n"/>
      <c r="E259" s="56" t="str">
        <f>IF(A259="","",IF(OR(AJ259="EXCLUDE",COUNTIF(AD259:AH259,"LOW")&gt;0),"EXCLUDE",IF(OR(AJ259&lt;&gt;"INCLUDE",F259&lt;&gt;"SUCCESS",D259&lt;&gt;"STORED",U259="",AP259="",AQ259="",AQ259="UNVERIFIED",AND(AP259="OFFICIAL_WEBSITE",Q259=""),AND(OR(AA259="Equipment manual / OEM instruction",AB259="Asset-specific normative"),OR(Z259&lt;&gt;"Manufacturer / supplier",AS259="",AC259=""))),"PENDING",IF(COUNTIF(AD259:AH259,"HIGH")=5,"INCLUDE","PENDING"))))</f>
        <v/>
      </c>
      <c r="F259" s="2" t="n"/>
      <c r="G259" s="81" t="n"/>
      <c r="H259" s="81" t="n"/>
      <c r="I259" s="2" t="n"/>
      <c r="J259" s="2" t="n"/>
      <c r="K259" s="73" t="str">
        <f>IF(A259="","",IF(J259="AUTO",H259,IF(J259="MANUAL",AK259,"")))</f>
        <v/>
      </c>
      <c r="L259" s="2" t="n"/>
      <c r="M259" s="2" t="n"/>
      <c r="N259" s="56" t="str">
        <f>IF(A259="","",IF(COUNTIFS('Human Operation Desktop'!$A$3:$A$502,A259,'Human Operation Desktop'!$I$3:$I$502,"&lt;&gt;APPLIED",'Human Operation Desktop'!$I$3:$I$502,"&lt;&gt;REJECTED")&gt;0,"YES","NO"))</f>
        <v/>
      </c>
      <c r="O259" s="2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76" t="n"/>
      <c r="AL259" s="3" t="n"/>
      <c r="AM259" s="3" t="n"/>
      <c r="AN259" s="3" t="n"/>
      <c r="AO259" s="3" t="n"/>
      <c r="AP259" s="3" t="n"/>
      <c r="AQ259" s="3" t="n"/>
      <c r="AR259" s="3" t="n"/>
      <c r="AS259" s="3" t="n"/>
    </row>
    <row r="260" ht="20" customHeight="1">
      <c r="A260" s="2" t="n"/>
      <c r="B260" s="2" t="n"/>
      <c r="C260" s="2" t="n"/>
      <c r="D260" s="2" t="n"/>
      <c r="E260" s="53" t="str">
        <f>IF(A260="","",IF(OR(AJ260="EXCLUDE",COUNTIF(AD260:AH260,"LOW")&gt;0),"EXCLUDE",IF(OR(AJ260&lt;&gt;"INCLUDE",F260&lt;&gt;"SUCCESS",D260&lt;&gt;"STORED",U260="",AP260="",AQ260="",AQ260="UNVERIFIED",AND(AP260="OFFICIAL_WEBSITE",Q260=""),AND(OR(AA260="Equipment manual / OEM instruction",AB260="Asset-specific normative"),OR(Z260&lt;&gt;"Manufacturer / supplier",AS260="",AC260=""))),"PENDING",IF(COUNTIF(AD260:AH260,"HIGH")=5,"INCLUDE","PENDING"))))</f>
        <v/>
      </c>
      <c r="F260" s="2" t="n"/>
      <c r="G260" s="81" t="n"/>
      <c r="H260" s="81" t="n"/>
      <c r="I260" s="2" t="n"/>
      <c r="J260" s="2" t="n"/>
      <c r="K260" s="75" t="str">
        <f>IF(A260="","",IF(J260="AUTO",H260,IF(J260="MANUAL",AK260,"")))</f>
        <v/>
      </c>
      <c r="L260" s="2" t="n"/>
      <c r="M260" s="2" t="n"/>
      <c r="N260" s="53" t="str">
        <f>IF(A260="","",IF(COUNTIFS('Human Operation Desktop'!$A$3:$A$502,A260,'Human Operation Desktop'!$I$3:$I$502,"&lt;&gt;APPLIED",'Human Operation Desktop'!$I$3:$I$502,"&lt;&gt;REJECTED")&gt;0,"YES","NO"))</f>
        <v/>
      </c>
      <c r="O260" s="2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76" t="n"/>
      <c r="AL260" s="3" t="n"/>
      <c r="AM260" s="3" t="n"/>
      <c r="AN260" s="3" t="n"/>
      <c r="AO260" s="3" t="n"/>
      <c r="AP260" s="3" t="n"/>
      <c r="AQ260" s="3" t="n"/>
      <c r="AR260" s="3" t="n"/>
      <c r="AS260" s="3" t="n"/>
    </row>
    <row r="261" ht="20" customHeight="1">
      <c r="A261" s="2" t="n"/>
      <c r="B261" s="2" t="n"/>
      <c r="C261" s="2" t="n"/>
      <c r="D261" s="2" t="n"/>
      <c r="E261" s="56" t="str">
        <f>IF(A261="","",IF(OR(AJ261="EXCLUDE",COUNTIF(AD261:AH261,"LOW")&gt;0),"EXCLUDE",IF(OR(AJ261&lt;&gt;"INCLUDE",F261&lt;&gt;"SUCCESS",D261&lt;&gt;"STORED",U261="",AP261="",AQ261="",AQ261="UNVERIFIED",AND(AP261="OFFICIAL_WEBSITE",Q261=""),AND(OR(AA261="Equipment manual / OEM instruction",AB261="Asset-specific normative"),OR(Z261&lt;&gt;"Manufacturer / supplier",AS261="",AC261=""))),"PENDING",IF(COUNTIF(AD261:AH261,"HIGH")=5,"INCLUDE","PENDING"))))</f>
        <v/>
      </c>
      <c r="F261" s="2" t="n"/>
      <c r="G261" s="81" t="n"/>
      <c r="H261" s="81" t="n"/>
      <c r="I261" s="2" t="n"/>
      <c r="J261" s="2" t="n"/>
      <c r="K261" s="73" t="str">
        <f>IF(A261="","",IF(J261="AUTO",H261,IF(J261="MANUAL",AK261,"")))</f>
        <v/>
      </c>
      <c r="L261" s="2" t="n"/>
      <c r="M261" s="2" t="n"/>
      <c r="N261" s="56" t="str">
        <f>IF(A261="","",IF(COUNTIFS('Human Operation Desktop'!$A$3:$A$502,A261,'Human Operation Desktop'!$I$3:$I$502,"&lt;&gt;APPLIED",'Human Operation Desktop'!$I$3:$I$502,"&lt;&gt;REJECTED")&gt;0,"YES","NO"))</f>
        <v/>
      </c>
      <c r="O261" s="2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76" t="n"/>
      <c r="AL261" s="3" t="n"/>
      <c r="AM261" s="3" t="n"/>
      <c r="AN261" s="3" t="n"/>
      <c r="AO261" s="3" t="n"/>
      <c r="AP261" s="3" t="n"/>
      <c r="AQ261" s="3" t="n"/>
      <c r="AR261" s="3" t="n"/>
      <c r="AS261" s="3" t="n"/>
    </row>
    <row r="262" ht="20" customHeight="1">
      <c r="A262" s="2" t="n"/>
      <c r="B262" s="2" t="n"/>
      <c r="C262" s="2" t="n"/>
      <c r="D262" s="2" t="n"/>
      <c r="E262" s="53" t="str">
        <f>IF(A262="","",IF(OR(AJ262="EXCLUDE",COUNTIF(AD262:AH262,"LOW")&gt;0),"EXCLUDE",IF(OR(AJ262&lt;&gt;"INCLUDE",F262&lt;&gt;"SUCCESS",D262&lt;&gt;"STORED",U262="",AP262="",AQ262="",AQ262="UNVERIFIED",AND(AP262="OFFICIAL_WEBSITE",Q262=""),AND(OR(AA262="Equipment manual / OEM instruction",AB262="Asset-specific normative"),OR(Z262&lt;&gt;"Manufacturer / supplier",AS262="",AC262=""))),"PENDING",IF(COUNTIF(AD262:AH262,"HIGH")=5,"INCLUDE","PENDING"))))</f>
        <v/>
      </c>
      <c r="F262" s="2" t="n"/>
      <c r="G262" s="81" t="n"/>
      <c r="H262" s="81" t="n"/>
      <c r="I262" s="2" t="n"/>
      <c r="J262" s="2" t="n"/>
      <c r="K262" s="75" t="str">
        <f>IF(A262="","",IF(J262="AUTO",H262,IF(J262="MANUAL",AK262,"")))</f>
        <v/>
      </c>
      <c r="L262" s="2" t="n"/>
      <c r="M262" s="2" t="n"/>
      <c r="N262" s="53" t="str">
        <f>IF(A262="","",IF(COUNTIFS('Human Operation Desktop'!$A$3:$A$502,A262,'Human Operation Desktop'!$I$3:$I$502,"&lt;&gt;APPLIED",'Human Operation Desktop'!$I$3:$I$502,"&lt;&gt;REJECTED")&gt;0,"YES","NO"))</f>
        <v/>
      </c>
      <c r="O262" s="2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76" t="n"/>
      <c r="AL262" s="3" t="n"/>
      <c r="AM262" s="3" t="n"/>
      <c r="AN262" s="3" t="n"/>
      <c r="AO262" s="3" t="n"/>
      <c r="AP262" s="3" t="n"/>
      <c r="AQ262" s="3" t="n"/>
      <c r="AR262" s="3" t="n"/>
      <c r="AS262" s="3" t="n"/>
    </row>
    <row r="263" ht="20" customHeight="1">
      <c r="A263" s="2" t="n"/>
      <c r="B263" s="2" t="n"/>
      <c r="C263" s="2" t="n"/>
      <c r="D263" s="2" t="n"/>
      <c r="E263" s="56" t="str">
        <f>IF(A263="","",IF(OR(AJ263="EXCLUDE",COUNTIF(AD263:AH263,"LOW")&gt;0),"EXCLUDE",IF(OR(AJ263&lt;&gt;"INCLUDE",F263&lt;&gt;"SUCCESS",D263&lt;&gt;"STORED",U263="",AP263="",AQ263="",AQ263="UNVERIFIED",AND(AP263="OFFICIAL_WEBSITE",Q263=""),AND(OR(AA263="Equipment manual / OEM instruction",AB263="Asset-specific normative"),OR(Z263&lt;&gt;"Manufacturer / supplier",AS263="",AC263=""))),"PENDING",IF(COUNTIF(AD263:AH263,"HIGH")=5,"INCLUDE","PENDING"))))</f>
        <v/>
      </c>
      <c r="F263" s="2" t="n"/>
      <c r="G263" s="81" t="n"/>
      <c r="H263" s="81" t="n"/>
      <c r="I263" s="2" t="n"/>
      <c r="J263" s="2" t="n"/>
      <c r="K263" s="73" t="str">
        <f>IF(A263="","",IF(J263="AUTO",H263,IF(J263="MANUAL",AK263,"")))</f>
        <v/>
      </c>
      <c r="L263" s="2" t="n"/>
      <c r="M263" s="2" t="n"/>
      <c r="N263" s="56" t="str">
        <f>IF(A263="","",IF(COUNTIFS('Human Operation Desktop'!$A$3:$A$502,A263,'Human Operation Desktop'!$I$3:$I$502,"&lt;&gt;APPLIED",'Human Operation Desktop'!$I$3:$I$502,"&lt;&gt;REJECTED")&gt;0,"YES","NO"))</f>
        <v/>
      </c>
      <c r="O263" s="2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76" t="n"/>
      <c r="AL263" s="3" t="n"/>
      <c r="AM263" s="3" t="n"/>
      <c r="AN263" s="3" t="n"/>
      <c r="AO263" s="3" t="n"/>
      <c r="AP263" s="3" t="n"/>
      <c r="AQ263" s="3" t="n"/>
      <c r="AR263" s="3" t="n"/>
      <c r="AS263" s="3" t="n"/>
    </row>
    <row r="264" ht="20" customHeight="1">
      <c r="A264" s="2" t="n"/>
      <c r="B264" s="2" t="n"/>
      <c r="C264" s="2" t="n"/>
      <c r="D264" s="2" t="n"/>
      <c r="E264" s="53" t="str">
        <f>IF(A264="","",IF(OR(AJ264="EXCLUDE",COUNTIF(AD264:AH264,"LOW")&gt;0),"EXCLUDE",IF(OR(AJ264&lt;&gt;"INCLUDE",F264&lt;&gt;"SUCCESS",D264&lt;&gt;"STORED",U264="",AP264="",AQ264="",AQ264="UNVERIFIED",AND(AP264="OFFICIAL_WEBSITE",Q264=""),AND(OR(AA264="Equipment manual / OEM instruction",AB264="Asset-specific normative"),OR(Z264&lt;&gt;"Manufacturer / supplier",AS264="",AC264=""))),"PENDING",IF(COUNTIF(AD264:AH264,"HIGH")=5,"INCLUDE","PENDING"))))</f>
        <v/>
      </c>
      <c r="F264" s="2" t="n"/>
      <c r="G264" s="81" t="n"/>
      <c r="H264" s="81" t="n"/>
      <c r="I264" s="2" t="n"/>
      <c r="J264" s="2" t="n"/>
      <c r="K264" s="75" t="str">
        <f>IF(A264="","",IF(J264="AUTO",H264,IF(J264="MANUAL",AK264,"")))</f>
        <v/>
      </c>
      <c r="L264" s="2" t="n"/>
      <c r="M264" s="2" t="n"/>
      <c r="N264" s="53" t="str">
        <f>IF(A264="","",IF(COUNTIFS('Human Operation Desktop'!$A$3:$A$502,A264,'Human Operation Desktop'!$I$3:$I$502,"&lt;&gt;APPLIED",'Human Operation Desktop'!$I$3:$I$502,"&lt;&gt;REJECTED")&gt;0,"YES","NO"))</f>
        <v/>
      </c>
      <c r="O264" s="2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76" t="n"/>
      <c r="AL264" s="3" t="n"/>
      <c r="AM264" s="3" t="n"/>
      <c r="AN264" s="3" t="n"/>
      <c r="AO264" s="3" t="n"/>
      <c r="AP264" s="3" t="n"/>
      <c r="AQ264" s="3" t="n"/>
      <c r="AR264" s="3" t="n"/>
      <c r="AS264" s="3" t="n"/>
    </row>
    <row r="265" ht="20" customHeight="1">
      <c r="A265" s="2" t="n"/>
      <c r="B265" s="2" t="n"/>
      <c r="C265" s="2" t="n"/>
      <c r="D265" s="2" t="n"/>
      <c r="E265" s="56" t="str">
        <f>IF(A265="","",IF(OR(AJ265="EXCLUDE",COUNTIF(AD265:AH265,"LOW")&gt;0),"EXCLUDE",IF(OR(AJ265&lt;&gt;"INCLUDE",F265&lt;&gt;"SUCCESS",D265&lt;&gt;"STORED",U265="",AP265="",AQ265="",AQ265="UNVERIFIED",AND(AP265="OFFICIAL_WEBSITE",Q265=""),AND(OR(AA265="Equipment manual / OEM instruction",AB265="Asset-specific normative"),OR(Z265&lt;&gt;"Manufacturer / supplier",AS265="",AC265=""))),"PENDING",IF(COUNTIF(AD265:AH265,"HIGH")=5,"INCLUDE","PENDING"))))</f>
        <v/>
      </c>
      <c r="F265" s="2" t="n"/>
      <c r="G265" s="81" t="n"/>
      <c r="H265" s="81" t="n"/>
      <c r="I265" s="2" t="n"/>
      <c r="J265" s="2" t="n"/>
      <c r="K265" s="73" t="str">
        <f>IF(A265="","",IF(J265="AUTO",H265,IF(J265="MANUAL",AK265,"")))</f>
        <v/>
      </c>
      <c r="L265" s="2" t="n"/>
      <c r="M265" s="2" t="n"/>
      <c r="N265" s="56" t="str">
        <f>IF(A265="","",IF(COUNTIFS('Human Operation Desktop'!$A$3:$A$502,A265,'Human Operation Desktop'!$I$3:$I$502,"&lt;&gt;APPLIED",'Human Operation Desktop'!$I$3:$I$502,"&lt;&gt;REJECTED")&gt;0,"YES","NO"))</f>
        <v/>
      </c>
      <c r="O265" s="2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76" t="n"/>
      <c r="AL265" s="3" t="n"/>
      <c r="AM265" s="3" t="n"/>
      <c r="AN265" s="3" t="n"/>
      <c r="AO265" s="3" t="n"/>
      <c r="AP265" s="3" t="n"/>
      <c r="AQ265" s="3" t="n"/>
      <c r="AR265" s="3" t="n"/>
      <c r="AS265" s="3" t="n"/>
    </row>
    <row r="266" ht="20" customHeight="1">
      <c r="A266" s="2" t="n"/>
      <c r="B266" s="2" t="n"/>
      <c r="C266" s="2" t="n"/>
      <c r="D266" s="2" t="n"/>
      <c r="E266" s="53" t="str">
        <f>IF(A266="","",IF(OR(AJ266="EXCLUDE",COUNTIF(AD266:AH266,"LOW")&gt;0),"EXCLUDE",IF(OR(AJ266&lt;&gt;"INCLUDE",F266&lt;&gt;"SUCCESS",D266&lt;&gt;"STORED",U266="",AP266="",AQ266="",AQ266="UNVERIFIED",AND(AP266="OFFICIAL_WEBSITE",Q266=""),AND(OR(AA266="Equipment manual / OEM instruction",AB266="Asset-specific normative"),OR(Z266&lt;&gt;"Manufacturer / supplier",AS266="",AC266=""))),"PENDING",IF(COUNTIF(AD266:AH266,"HIGH")=5,"INCLUDE","PENDING"))))</f>
        <v/>
      </c>
      <c r="F266" s="2" t="n"/>
      <c r="G266" s="81" t="n"/>
      <c r="H266" s="81" t="n"/>
      <c r="I266" s="2" t="n"/>
      <c r="J266" s="2" t="n"/>
      <c r="K266" s="75" t="str">
        <f>IF(A266="","",IF(J266="AUTO",H266,IF(J266="MANUAL",AK266,"")))</f>
        <v/>
      </c>
      <c r="L266" s="2" t="n"/>
      <c r="M266" s="2" t="n"/>
      <c r="N266" s="53" t="str">
        <f>IF(A266="","",IF(COUNTIFS('Human Operation Desktop'!$A$3:$A$502,A266,'Human Operation Desktop'!$I$3:$I$502,"&lt;&gt;APPLIED",'Human Operation Desktop'!$I$3:$I$502,"&lt;&gt;REJECTED")&gt;0,"YES","NO"))</f>
        <v/>
      </c>
      <c r="O266" s="2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76" t="n"/>
      <c r="AL266" s="3" t="n"/>
      <c r="AM266" s="3" t="n"/>
      <c r="AN266" s="3" t="n"/>
      <c r="AO266" s="3" t="n"/>
      <c r="AP266" s="3" t="n"/>
      <c r="AQ266" s="3" t="n"/>
      <c r="AR266" s="3" t="n"/>
      <c r="AS266" s="3" t="n"/>
    </row>
    <row r="267" ht="20" customHeight="1">
      <c r="A267" s="2" t="n"/>
      <c r="B267" s="2" t="n"/>
      <c r="C267" s="2" t="n"/>
      <c r="D267" s="2" t="n"/>
      <c r="E267" s="56" t="str">
        <f>IF(A267="","",IF(OR(AJ267="EXCLUDE",COUNTIF(AD267:AH267,"LOW")&gt;0),"EXCLUDE",IF(OR(AJ267&lt;&gt;"INCLUDE",F267&lt;&gt;"SUCCESS",D267&lt;&gt;"STORED",U267="",AP267="",AQ267="",AQ267="UNVERIFIED",AND(AP267="OFFICIAL_WEBSITE",Q267=""),AND(OR(AA267="Equipment manual / OEM instruction",AB267="Asset-specific normative"),OR(Z267&lt;&gt;"Manufacturer / supplier",AS267="",AC267=""))),"PENDING",IF(COUNTIF(AD267:AH267,"HIGH")=5,"INCLUDE","PENDING"))))</f>
        <v/>
      </c>
      <c r="F267" s="2" t="n"/>
      <c r="G267" s="81" t="n"/>
      <c r="H267" s="81" t="n"/>
      <c r="I267" s="2" t="n"/>
      <c r="J267" s="2" t="n"/>
      <c r="K267" s="73" t="str">
        <f>IF(A267="","",IF(J267="AUTO",H267,IF(J267="MANUAL",AK267,"")))</f>
        <v/>
      </c>
      <c r="L267" s="2" t="n"/>
      <c r="M267" s="2" t="n"/>
      <c r="N267" s="56" t="str">
        <f>IF(A267="","",IF(COUNTIFS('Human Operation Desktop'!$A$3:$A$502,A267,'Human Operation Desktop'!$I$3:$I$502,"&lt;&gt;APPLIED",'Human Operation Desktop'!$I$3:$I$502,"&lt;&gt;REJECTED")&gt;0,"YES","NO"))</f>
        <v/>
      </c>
      <c r="O267" s="2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76" t="n"/>
      <c r="AL267" s="3" t="n"/>
      <c r="AM267" s="3" t="n"/>
      <c r="AN267" s="3" t="n"/>
      <c r="AO267" s="3" t="n"/>
      <c r="AP267" s="3" t="n"/>
      <c r="AQ267" s="3" t="n"/>
      <c r="AR267" s="3" t="n"/>
      <c r="AS267" s="3" t="n"/>
    </row>
    <row r="268" ht="20" customHeight="1">
      <c r="A268" s="2" t="n"/>
      <c r="B268" s="2" t="n"/>
      <c r="C268" s="2" t="n"/>
      <c r="D268" s="2" t="n"/>
      <c r="E268" s="53" t="str">
        <f>IF(A268="","",IF(OR(AJ268="EXCLUDE",COUNTIF(AD268:AH268,"LOW")&gt;0),"EXCLUDE",IF(OR(AJ268&lt;&gt;"INCLUDE",F268&lt;&gt;"SUCCESS",D268&lt;&gt;"STORED",U268="",AP268="",AQ268="",AQ268="UNVERIFIED",AND(AP268="OFFICIAL_WEBSITE",Q268=""),AND(OR(AA268="Equipment manual / OEM instruction",AB268="Asset-specific normative"),OR(Z268&lt;&gt;"Manufacturer / supplier",AS268="",AC268=""))),"PENDING",IF(COUNTIF(AD268:AH268,"HIGH")=5,"INCLUDE","PENDING"))))</f>
        <v/>
      </c>
      <c r="F268" s="2" t="n"/>
      <c r="G268" s="81" t="n"/>
      <c r="H268" s="81" t="n"/>
      <c r="I268" s="2" t="n"/>
      <c r="J268" s="2" t="n"/>
      <c r="K268" s="75" t="str">
        <f>IF(A268="","",IF(J268="AUTO",H268,IF(J268="MANUAL",AK268,"")))</f>
        <v/>
      </c>
      <c r="L268" s="2" t="n"/>
      <c r="M268" s="2" t="n"/>
      <c r="N268" s="53" t="str">
        <f>IF(A268="","",IF(COUNTIFS('Human Operation Desktop'!$A$3:$A$502,A268,'Human Operation Desktop'!$I$3:$I$502,"&lt;&gt;APPLIED",'Human Operation Desktop'!$I$3:$I$502,"&lt;&gt;REJECTED")&gt;0,"YES","NO"))</f>
        <v/>
      </c>
      <c r="O268" s="2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76" t="n"/>
      <c r="AL268" s="3" t="n"/>
      <c r="AM268" s="3" t="n"/>
      <c r="AN268" s="3" t="n"/>
      <c r="AO268" s="3" t="n"/>
      <c r="AP268" s="3" t="n"/>
      <c r="AQ268" s="3" t="n"/>
      <c r="AR268" s="3" t="n"/>
      <c r="AS268" s="3" t="n"/>
    </row>
    <row r="269" ht="20" customHeight="1">
      <c r="A269" s="2" t="n"/>
      <c r="B269" s="2" t="n"/>
      <c r="C269" s="2" t="n"/>
      <c r="D269" s="2" t="n"/>
      <c r="E269" s="56" t="str">
        <f>IF(A269="","",IF(OR(AJ269="EXCLUDE",COUNTIF(AD269:AH269,"LOW")&gt;0),"EXCLUDE",IF(OR(AJ269&lt;&gt;"INCLUDE",F269&lt;&gt;"SUCCESS",D269&lt;&gt;"STORED",U269="",AP269="",AQ269="",AQ269="UNVERIFIED",AND(AP269="OFFICIAL_WEBSITE",Q269=""),AND(OR(AA269="Equipment manual / OEM instruction",AB269="Asset-specific normative"),OR(Z269&lt;&gt;"Manufacturer / supplier",AS269="",AC269=""))),"PENDING",IF(COUNTIF(AD269:AH269,"HIGH")=5,"INCLUDE","PENDING"))))</f>
        <v/>
      </c>
      <c r="F269" s="2" t="n"/>
      <c r="G269" s="81" t="n"/>
      <c r="H269" s="81" t="n"/>
      <c r="I269" s="2" t="n"/>
      <c r="J269" s="2" t="n"/>
      <c r="K269" s="73" t="str">
        <f>IF(A269="","",IF(J269="AUTO",H269,IF(J269="MANUAL",AK269,"")))</f>
        <v/>
      </c>
      <c r="L269" s="2" t="n"/>
      <c r="M269" s="2" t="n"/>
      <c r="N269" s="56" t="str">
        <f>IF(A269="","",IF(COUNTIFS('Human Operation Desktop'!$A$3:$A$502,A269,'Human Operation Desktop'!$I$3:$I$502,"&lt;&gt;APPLIED",'Human Operation Desktop'!$I$3:$I$502,"&lt;&gt;REJECTED")&gt;0,"YES","NO"))</f>
        <v/>
      </c>
      <c r="O269" s="2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76" t="n"/>
      <c r="AL269" s="3" t="n"/>
      <c r="AM269" s="3" t="n"/>
      <c r="AN269" s="3" t="n"/>
      <c r="AO269" s="3" t="n"/>
      <c r="AP269" s="3" t="n"/>
      <c r="AQ269" s="3" t="n"/>
      <c r="AR269" s="3" t="n"/>
      <c r="AS269" s="3" t="n"/>
    </row>
    <row r="270" ht="20" customHeight="1">
      <c r="A270" s="2" t="n"/>
      <c r="B270" s="2" t="n"/>
      <c r="C270" s="2" t="n"/>
      <c r="D270" s="2" t="n"/>
      <c r="E270" s="53" t="str">
        <f>IF(A270="","",IF(OR(AJ270="EXCLUDE",COUNTIF(AD270:AH270,"LOW")&gt;0),"EXCLUDE",IF(OR(AJ270&lt;&gt;"INCLUDE",F270&lt;&gt;"SUCCESS",D270&lt;&gt;"STORED",U270="",AP270="",AQ270="",AQ270="UNVERIFIED",AND(AP270="OFFICIAL_WEBSITE",Q270=""),AND(OR(AA270="Equipment manual / OEM instruction",AB270="Asset-specific normative"),OR(Z270&lt;&gt;"Manufacturer / supplier",AS270="",AC270=""))),"PENDING",IF(COUNTIF(AD270:AH270,"HIGH")=5,"INCLUDE","PENDING"))))</f>
        <v/>
      </c>
      <c r="F270" s="2" t="n"/>
      <c r="G270" s="81" t="n"/>
      <c r="H270" s="81" t="n"/>
      <c r="I270" s="2" t="n"/>
      <c r="J270" s="2" t="n"/>
      <c r="K270" s="75" t="str">
        <f>IF(A270="","",IF(J270="AUTO",H270,IF(J270="MANUAL",AK270,"")))</f>
        <v/>
      </c>
      <c r="L270" s="2" t="n"/>
      <c r="M270" s="2" t="n"/>
      <c r="N270" s="53" t="str">
        <f>IF(A270="","",IF(COUNTIFS('Human Operation Desktop'!$A$3:$A$502,A270,'Human Operation Desktop'!$I$3:$I$502,"&lt;&gt;APPLIED",'Human Operation Desktop'!$I$3:$I$502,"&lt;&gt;REJECTED")&gt;0,"YES","NO"))</f>
        <v/>
      </c>
      <c r="O270" s="2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76" t="n"/>
      <c r="AL270" s="3" t="n"/>
      <c r="AM270" s="3" t="n"/>
      <c r="AN270" s="3" t="n"/>
      <c r="AO270" s="3" t="n"/>
      <c r="AP270" s="3" t="n"/>
      <c r="AQ270" s="3" t="n"/>
      <c r="AR270" s="3" t="n"/>
      <c r="AS270" s="3" t="n"/>
    </row>
    <row r="271" ht="20" customHeight="1">
      <c r="A271" s="2" t="n"/>
      <c r="B271" s="2" t="n"/>
      <c r="C271" s="2" t="n"/>
      <c r="D271" s="2" t="n"/>
      <c r="E271" s="56" t="str">
        <f>IF(A271="","",IF(OR(AJ271="EXCLUDE",COUNTIF(AD271:AH271,"LOW")&gt;0),"EXCLUDE",IF(OR(AJ271&lt;&gt;"INCLUDE",F271&lt;&gt;"SUCCESS",D271&lt;&gt;"STORED",U271="",AP271="",AQ271="",AQ271="UNVERIFIED",AND(AP271="OFFICIAL_WEBSITE",Q271=""),AND(OR(AA271="Equipment manual / OEM instruction",AB271="Asset-specific normative"),OR(Z271&lt;&gt;"Manufacturer / supplier",AS271="",AC271=""))),"PENDING",IF(COUNTIF(AD271:AH271,"HIGH")=5,"INCLUDE","PENDING"))))</f>
        <v/>
      </c>
      <c r="F271" s="2" t="n"/>
      <c r="G271" s="81" t="n"/>
      <c r="H271" s="81" t="n"/>
      <c r="I271" s="2" t="n"/>
      <c r="J271" s="2" t="n"/>
      <c r="K271" s="73" t="str">
        <f>IF(A271="","",IF(J271="AUTO",H271,IF(J271="MANUAL",AK271,"")))</f>
        <v/>
      </c>
      <c r="L271" s="2" t="n"/>
      <c r="M271" s="2" t="n"/>
      <c r="N271" s="56" t="str">
        <f>IF(A271="","",IF(COUNTIFS('Human Operation Desktop'!$A$3:$A$502,A271,'Human Operation Desktop'!$I$3:$I$502,"&lt;&gt;APPLIED",'Human Operation Desktop'!$I$3:$I$502,"&lt;&gt;REJECTED")&gt;0,"YES","NO"))</f>
        <v/>
      </c>
      <c r="O271" s="2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76" t="n"/>
      <c r="AL271" s="3" t="n"/>
      <c r="AM271" s="3" t="n"/>
      <c r="AN271" s="3" t="n"/>
      <c r="AO271" s="3" t="n"/>
      <c r="AP271" s="3" t="n"/>
      <c r="AQ271" s="3" t="n"/>
      <c r="AR271" s="3" t="n"/>
      <c r="AS271" s="3" t="n"/>
    </row>
    <row r="272" ht="20" customHeight="1">
      <c r="A272" s="2" t="n"/>
      <c r="B272" s="2" t="n"/>
      <c r="C272" s="2" t="n"/>
      <c r="D272" s="2" t="n"/>
      <c r="E272" s="53" t="str">
        <f>IF(A272="","",IF(OR(AJ272="EXCLUDE",COUNTIF(AD272:AH272,"LOW")&gt;0),"EXCLUDE",IF(OR(AJ272&lt;&gt;"INCLUDE",F272&lt;&gt;"SUCCESS",D272&lt;&gt;"STORED",U272="",AP272="",AQ272="",AQ272="UNVERIFIED",AND(AP272="OFFICIAL_WEBSITE",Q272=""),AND(OR(AA272="Equipment manual / OEM instruction",AB272="Asset-specific normative"),OR(Z272&lt;&gt;"Manufacturer / supplier",AS272="",AC272=""))),"PENDING",IF(COUNTIF(AD272:AH272,"HIGH")=5,"INCLUDE","PENDING"))))</f>
        <v/>
      </c>
      <c r="F272" s="2" t="n"/>
      <c r="G272" s="81" t="n"/>
      <c r="H272" s="81" t="n"/>
      <c r="I272" s="2" t="n"/>
      <c r="J272" s="2" t="n"/>
      <c r="K272" s="75" t="str">
        <f>IF(A272="","",IF(J272="AUTO",H272,IF(J272="MANUAL",AK272,"")))</f>
        <v/>
      </c>
      <c r="L272" s="2" t="n"/>
      <c r="M272" s="2" t="n"/>
      <c r="N272" s="53" t="str">
        <f>IF(A272="","",IF(COUNTIFS('Human Operation Desktop'!$A$3:$A$502,A272,'Human Operation Desktop'!$I$3:$I$502,"&lt;&gt;APPLIED",'Human Operation Desktop'!$I$3:$I$502,"&lt;&gt;REJECTED")&gt;0,"YES","NO"))</f>
        <v/>
      </c>
      <c r="O272" s="2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76" t="n"/>
      <c r="AL272" s="3" t="n"/>
      <c r="AM272" s="3" t="n"/>
      <c r="AN272" s="3" t="n"/>
      <c r="AO272" s="3" t="n"/>
      <c r="AP272" s="3" t="n"/>
      <c r="AQ272" s="3" t="n"/>
      <c r="AR272" s="3" t="n"/>
      <c r="AS272" s="3" t="n"/>
    </row>
    <row r="273" ht="20" customHeight="1">
      <c r="A273" s="2" t="n"/>
      <c r="B273" s="2" t="n"/>
      <c r="C273" s="2" t="n"/>
      <c r="D273" s="2" t="n"/>
      <c r="E273" s="56" t="str">
        <f>IF(A273="","",IF(OR(AJ273="EXCLUDE",COUNTIF(AD273:AH273,"LOW")&gt;0),"EXCLUDE",IF(OR(AJ273&lt;&gt;"INCLUDE",F273&lt;&gt;"SUCCESS",D273&lt;&gt;"STORED",U273="",AP273="",AQ273="",AQ273="UNVERIFIED",AND(AP273="OFFICIAL_WEBSITE",Q273=""),AND(OR(AA273="Equipment manual / OEM instruction",AB273="Asset-specific normative"),OR(Z273&lt;&gt;"Manufacturer / supplier",AS273="",AC273=""))),"PENDING",IF(COUNTIF(AD273:AH273,"HIGH")=5,"INCLUDE","PENDING"))))</f>
        <v/>
      </c>
      <c r="F273" s="2" t="n"/>
      <c r="G273" s="81" t="n"/>
      <c r="H273" s="81" t="n"/>
      <c r="I273" s="2" t="n"/>
      <c r="J273" s="2" t="n"/>
      <c r="K273" s="73" t="str">
        <f>IF(A273="","",IF(J273="AUTO",H273,IF(J273="MANUAL",AK273,"")))</f>
        <v/>
      </c>
      <c r="L273" s="2" t="n"/>
      <c r="M273" s="2" t="n"/>
      <c r="N273" s="56" t="str">
        <f>IF(A273="","",IF(COUNTIFS('Human Operation Desktop'!$A$3:$A$502,A273,'Human Operation Desktop'!$I$3:$I$502,"&lt;&gt;APPLIED",'Human Operation Desktop'!$I$3:$I$502,"&lt;&gt;REJECTED")&gt;0,"YES","NO"))</f>
        <v/>
      </c>
      <c r="O273" s="2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76" t="n"/>
      <c r="AL273" s="3" t="n"/>
      <c r="AM273" s="3" t="n"/>
      <c r="AN273" s="3" t="n"/>
      <c r="AO273" s="3" t="n"/>
      <c r="AP273" s="3" t="n"/>
      <c r="AQ273" s="3" t="n"/>
      <c r="AR273" s="3" t="n"/>
      <c r="AS273" s="3" t="n"/>
    </row>
    <row r="274" ht="20" customHeight="1">
      <c r="A274" s="2" t="n"/>
      <c r="B274" s="2" t="n"/>
      <c r="C274" s="2" t="n"/>
      <c r="D274" s="2" t="n"/>
      <c r="E274" s="53" t="str">
        <f>IF(A274="","",IF(OR(AJ274="EXCLUDE",COUNTIF(AD274:AH274,"LOW")&gt;0),"EXCLUDE",IF(OR(AJ274&lt;&gt;"INCLUDE",F274&lt;&gt;"SUCCESS",D274&lt;&gt;"STORED",U274="",AP274="",AQ274="",AQ274="UNVERIFIED",AND(AP274="OFFICIAL_WEBSITE",Q274=""),AND(OR(AA274="Equipment manual / OEM instruction",AB274="Asset-specific normative"),OR(Z274&lt;&gt;"Manufacturer / supplier",AS274="",AC274=""))),"PENDING",IF(COUNTIF(AD274:AH274,"HIGH")=5,"INCLUDE","PENDING"))))</f>
        <v/>
      </c>
      <c r="F274" s="2" t="n"/>
      <c r="G274" s="81" t="n"/>
      <c r="H274" s="81" t="n"/>
      <c r="I274" s="2" t="n"/>
      <c r="J274" s="2" t="n"/>
      <c r="K274" s="75" t="str">
        <f>IF(A274="","",IF(J274="AUTO",H274,IF(J274="MANUAL",AK274,"")))</f>
        <v/>
      </c>
      <c r="L274" s="2" t="n"/>
      <c r="M274" s="2" t="n"/>
      <c r="N274" s="53" t="str">
        <f>IF(A274="","",IF(COUNTIFS('Human Operation Desktop'!$A$3:$A$502,A274,'Human Operation Desktop'!$I$3:$I$502,"&lt;&gt;APPLIED",'Human Operation Desktop'!$I$3:$I$502,"&lt;&gt;REJECTED")&gt;0,"YES","NO"))</f>
        <v/>
      </c>
      <c r="O274" s="2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76" t="n"/>
      <c r="AL274" s="3" t="n"/>
      <c r="AM274" s="3" t="n"/>
      <c r="AN274" s="3" t="n"/>
      <c r="AO274" s="3" t="n"/>
      <c r="AP274" s="3" t="n"/>
      <c r="AQ274" s="3" t="n"/>
      <c r="AR274" s="3" t="n"/>
      <c r="AS274" s="3" t="n"/>
    </row>
    <row r="275" ht="20" customHeight="1">
      <c r="A275" s="2" t="n"/>
      <c r="B275" s="2" t="n"/>
      <c r="C275" s="2" t="n"/>
      <c r="D275" s="2" t="n"/>
      <c r="E275" s="56" t="str">
        <f>IF(A275="","",IF(OR(AJ275="EXCLUDE",COUNTIF(AD275:AH275,"LOW")&gt;0),"EXCLUDE",IF(OR(AJ275&lt;&gt;"INCLUDE",F275&lt;&gt;"SUCCESS",D275&lt;&gt;"STORED",U275="",AP275="",AQ275="",AQ275="UNVERIFIED",AND(AP275="OFFICIAL_WEBSITE",Q275=""),AND(OR(AA275="Equipment manual / OEM instruction",AB275="Asset-specific normative"),OR(Z275&lt;&gt;"Manufacturer / supplier",AS275="",AC275=""))),"PENDING",IF(COUNTIF(AD275:AH275,"HIGH")=5,"INCLUDE","PENDING"))))</f>
        <v/>
      </c>
      <c r="F275" s="2" t="n"/>
      <c r="G275" s="81" t="n"/>
      <c r="H275" s="81" t="n"/>
      <c r="I275" s="2" t="n"/>
      <c r="J275" s="2" t="n"/>
      <c r="K275" s="73" t="str">
        <f>IF(A275="","",IF(J275="AUTO",H275,IF(J275="MANUAL",AK275,"")))</f>
        <v/>
      </c>
      <c r="L275" s="2" t="n"/>
      <c r="M275" s="2" t="n"/>
      <c r="N275" s="56" t="str">
        <f>IF(A275="","",IF(COUNTIFS('Human Operation Desktop'!$A$3:$A$502,A275,'Human Operation Desktop'!$I$3:$I$502,"&lt;&gt;APPLIED",'Human Operation Desktop'!$I$3:$I$502,"&lt;&gt;REJECTED")&gt;0,"YES","NO"))</f>
        <v/>
      </c>
      <c r="O275" s="2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76" t="n"/>
      <c r="AL275" s="3" t="n"/>
      <c r="AM275" s="3" t="n"/>
      <c r="AN275" s="3" t="n"/>
      <c r="AO275" s="3" t="n"/>
      <c r="AP275" s="3" t="n"/>
      <c r="AQ275" s="3" t="n"/>
      <c r="AR275" s="3" t="n"/>
      <c r="AS275" s="3" t="n"/>
    </row>
    <row r="276" ht="20" customHeight="1">
      <c r="A276" s="2" t="n"/>
      <c r="B276" s="2" t="n"/>
      <c r="C276" s="2" t="n"/>
      <c r="D276" s="2" t="n"/>
      <c r="E276" s="53" t="str">
        <f>IF(A276="","",IF(OR(AJ276="EXCLUDE",COUNTIF(AD276:AH276,"LOW")&gt;0),"EXCLUDE",IF(OR(AJ276&lt;&gt;"INCLUDE",F276&lt;&gt;"SUCCESS",D276&lt;&gt;"STORED",U276="",AP276="",AQ276="",AQ276="UNVERIFIED",AND(AP276="OFFICIAL_WEBSITE",Q276=""),AND(OR(AA276="Equipment manual / OEM instruction",AB276="Asset-specific normative"),OR(Z276&lt;&gt;"Manufacturer / supplier",AS276="",AC276=""))),"PENDING",IF(COUNTIF(AD276:AH276,"HIGH")=5,"INCLUDE","PENDING"))))</f>
        <v/>
      </c>
      <c r="F276" s="2" t="n"/>
      <c r="G276" s="81" t="n"/>
      <c r="H276" s="81" t="n"/>
      <c r="I276" s="2" t="n"/>
      <c r="J276" s="2" t="n"/>
      <c r="K276" s="75" t="str">
        <f>IF(A276="","",IF(J276="AUTO",H276,IF(J276="MANUAL",AK276,"")))</f>
        <v/>
      </c>
      <c r="L276" s="2" t="n"/>
      <c r="M276" s="2" t="n"/>
      <c r="N276" s="53" t="str">
        <f>IF(A276="","",IF(COUNTIFS('Human Operation Desktop'!$A$3:$A$502,A276,'Human Operation Desktop'!$I$3:$I$502,"&lt;&gt;APPLIED",'Human Operation Desktop'!$I$3:$I$502,"&lt;&gt;REJECTED")&gt;0,"YES","NO"))</f>
        <v/>
      </c>
      <c r="O276" s="2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76" t="n"/>
      <c r="AL276" s="3" t="n"/>
      <c r="AM276" s="3" t="n"/>
      <c r="AN276" s="3" t="n"/>
      <c r="AO276" s="3" t="n"/>
      <c r="AP276" s="3" t="n"/>
      <c r="AQ276" s="3" t="n"/>
      <c r="AR276" s="3" t="n"/>
      <c r="AS276" s="3" t="n"/>
    </row>
    <row r="277" ht="20" customHeight="1">
      <c r="A277" s="2" t="n"/>
      <c r="B277" s="2" t="n"/>
      <c r="C277" s="2" t="n"/>
      <c r="D277" s="2" t="n"/>
      <c r="E277" s="56" t="str">
        <f>IF(A277="","",IF(OR(AJ277="EXCLUDE",COUNTIF(AD277:AH277,"LOW")&gt;0),"EXCLUDE",IF(OR(AJ277&lt;&gt;"INCLUDE",F277&lt;&gt;"SUCCESS",D277&lt;&gt;"STORED",U277="",AP277="",AQ277="",AQ277="UNVERIFIED",AND(AP277="OFFICIAL_WEBSITE",Q277=""),AND(OR(AA277="Equipment manual / OEM instruction",AB277="Asset-specific normative"),OR(Z277&lt;&gt;"Manufacturer / supplier",AS277="",AC277=""))),"PENDING",IF(COUNTIF(AD277:AH277,"HIGH")=5,"INCLUDE","PENDING"))))</f>
        <v/>
      </c>
      <c r="F277" s="2" t="n"/>
      <c r="G277" s="81" t="n"/>
      <c r="H277" s="81" t="n"/>
      <c r="I277" s="2" t="n"/>
      <c r="J277" s="2" t="n"/>
      <c r="K277" s="73" t="str">
        <f>IF(A277="","",IF(J277="AUTO",H277,IF(J277="MANUAL",AK277,"")))</f>
        <v/>
      </c>
      <c r="L277" s="2" t="n"/>
      <c r="M277" s="2" t="n"/>
      <c r="N277" s="56" t="str">
        <f>IF(A277="","",IF(COUNTIFS('Human Operation Desktop'!$A$3:$A$502,A277,'Human Operation Desktop'!$I$3:$I$502,"&lt;&gt;APPLIED",'Human Operation Desktop'!$I$3:$I$502,"&lt;&gt;REJECTED")&gt;0,"YES","NO"))</f>
        <v/>
      </c>
      <c r="O277" s="2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76" t="n"/>
      <c r="AL277" s="3" t="n"/>
      <c r="AM277" s="3" t="n"/>
      <c r="AN277" s="3" t="n"/>
      <c r="AO277" s="3" t="n"/>
      <c r="AP277" s="3" t="n"/>
      <c r="AQ277" s="3" t="n"/>
      <c r="AR277" s="3" t="n"/>
      <c r="AS277" s="3" t="n"/>
    </row>
    <row r="278" ht="20" customHeight="1">
      <c r="A278" s="2" t="n"/>
      <c r="B278" s="2" t="n"/>
      <c r="C278" s="2" t="n"/>
      <c r="D278" s="2" t="n"/>
      <c r="E278" s="53" t="str">
        <f>IF(A278="","",IF(OR(AJ278="EXCLUDE",COUNTIF(AD278:AH278,"LOW")&gt;0),"EXCLUDE",IF(OR(AJ278&lt;&gt;"INCLUDE",F278&lt;&gt;"SUCCESS",D278&lt;&gt;"STORED",U278="",AP278="",AQ278="",AQ278="UNVERIFIED",AND(AP278="OFFICIAL_WEBSITE",Q278=""),AND(OR(AA278="Equipment manual / OEM instruction",AB278="Asset-specific normative"),OR(Z278&lt;&gt;"Manufacturer / supplier",AS278="",AC278=""))),"PENDING",IF(COUNTIF(AD278:AH278,"HIGH")=5,"INCLUDE","PENDING"))))</f>
        <v/>
      </c>
      <c r="F278" s="2" t="n"/>
      <c r="G278" s="81" t="n"/>
      <c r="H278" s="81" t="n"/>
      <c r="I278" s="2" t="n"/>
      <c r="J278" s="2" t="n"/>
      <c r="K278" s="75" t="str">
        <f>IF(A278="","",IF(J278="AUTO",H278,IF(J278="MANUAL",AK278,"")))</f>
        <v/>
      </c>
      <c r="L278" s="2" t="n"/>
      <c r="M278" s="2" t="n"/>
      <c r="N278" s="53" t="str">
        <f>IF(A278="","",IF(COUNTIFS('Human Operation Desktop'!$A$3:$A$502,A278,'Human Operation Desktop'!$I$3:$I$502,"&lt;&gt;APPLIED",'Human Operation Desktop'!$I$3:$I$502,"&lt;&gt;REJECTED")&gt;0,"YES","NO"))</f>
        <v/>
      </c>
      <c r="O278" s="2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76" t="n"/>
      <c r="AL278" s="3" t="n"/>
      <c r="AM278" s="3" t="n"/>
      <c r="AN278" s="3" t="n"/>
      <c r="AO278" s="3" t="n"/>
      <c r="AP278" s="3" t="n"/>
      <c r="AQ278" s="3" t="n"/>
      <c r="AR278" s="3" t="n"/>
      <c r="AS278" s="3" t="n"/>
    </row>
    <row r="279" ht="20" customHeight="1">
      <c r="A279" s="2" t="n"/>
      <c r="B279" s="2" t="n"/>
      <c r="C279" s="2" t="n"/>
      <c r="D279" s="2" t="n"/>
      <c r="E279" s="56" t="str">
        <f>IF(A279="","",IF(OR(AJ279="EXCLUDE",COUNTIF(AD279:AH279,"LOW")&gt;0),"EXCLUDE",IF(OR(AJ279&lt;&gt;"INCLUDE",F279&lt;&gt;"SUCCESS",D279&lt;&gt;"STORED",U279="",AP279="",AQ279="",AQ279="UNVERIFIED",AND(AP279="OFFICIAL_WEBSITE",Q279=""),AND(OR(AA279="Equipment manual / OEM instruction",AB279="Asset-specific normative"),OR(Z279&lt;&gt;"Manufacturer / supplier",AS279="",AC279=""))),"PENDING",IF(COUNTIF(AD279:AH279,"HIGH")=5,"INCLUDE","PENDING"))))</f>
        <v/>
      </c>
      <c r="F279" s="2" t="n"/>
      <c r="G279" s="81" t="n"/>
      <c r="H279" s="81" t="n"/>
      <c r="I279" s="2" t="n"/>
      <c r="J279" s="2" t="n"/>
      <c r="K279" s="73" t="str">
        <f>IF(A279="","",IF(J279="AUTO",H279,IF(J279="MANUAL",AK279,"")))</f>
        <v/>
      </c>
      <c r="L279" s="2" t="n"/>
      <c r="M279" s="2" t="n"/>
      <c r="N279" s="56" t="str">
        <f>IF(A279="","",IF(COUNTIFS('Human Operation Desktop'!$A$3:$A$502,A279,'Human Operation Desktop'!$I$3:$I$502,"&lt;&gt;APPLIED",'Human Operation Desktop'!$I$3:$I$502,"&lt;&gt;REJECTED")&gt;0,"YES","NO"))</f>
        <v/>
      </c>
      <c r="O279" s="2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76" t="n"/>
      <c r="AL279" s="3" t="n"/>
      <c r="AM279" s="3" t="n"/>
      <c r="AN279" s="3" t="n"/>
      <c r="AO279" s="3" t="n"/>
      <c r="AP279" s="3" t="n"/>
      <c r="AQ279" s="3" t="n"/>
      <c r="AR279" s="3" t="n"/>
      <c r="AS279" s="3" t="n"/>
    </row>
    <row r="280" ht="20" customHeight="1">
      <c r="A280" s="2" t="n"/>
      <c r="B280" s="2" t="n"/>
      <c r="C280" s="2" t="n"/>
      <c r="D280" s="2" t="n"/>
      <c r="E280" s="53" t="str">
        <f>IF(A280="","",IF(OR(AJ280="EXCLUDE",COUNTIF(AD280:AH280,"LOW")&gt;0),"EXCLUDE",IF(OR(AJ280&lt;&gt;"INCLUDE",F280&lt;&gt;"SUCCESS",D280&lt;&gt;"STORED",U280="",AP280="",AQ280="",AQ280="UNVERIFIED",AND(AP280="OFFICIAL_WEBSITE",Q280=""),AND(OR(AA280="Equipment manual / OEM instruction",AB280="Asset-specific normative"),OR(Z280&lt;&gt;"Manufacturer / supplier",AS280="",AC280=""))),"PENDING",IF(COUNTIF(AD280:AH280,"HIGH")=5,"INCLUDE","PENDING"))))</f>
        <v/>
      </c>
      <c r="F280" s="2" t="n"/>
      <c r="G280" s="81" t="n"/>
      <c r="H280" s="81" t="n"/>
      <c r="I280" s="2" t="n"/>
      <c r="J280" s="2" t="n"/>
      <c r="K280" s="75" t="str">
        <f>IF(A280="","",IF(J280="AUTO",H280,IF(J280="MANUAL",AK280,"")))</f>
        <v/>
      </c>
      <c r="L280" s="2" t="n"/>
      <c r="M280" s="2" t="n"/>
      <c r="N280" s="53" t="str">
        <f>IF(A280="","",IF(COUNTIFS('Human Operation Desktop'!$A$3:$A$502,A280,'Human Operation Desktop'!$I$3:$I$502,"&lt;&gt;APPLIED",'Human Operation Desktop'!$I$3:$I$502,"&lt;&gt;REJECTED")&gt;0,"YES","NO"))</f>
        <v/>
      </c>
      <c r="O280" s="2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76" t="n"/>
      <c r="AL280" s="3" t="n"/>
      <c r="AM280" s="3" t="n"/>
      <c r="AN280" s="3" t="n"/>
      <c r="AO280" s="3" t="n"/>
      <c r="AP280" s="3" t="n"/>
      <c r="AQ280" s="3" t="n"/>
      <c r="AR280" s="3" t="n"/>
      <c r="AS280" s="3" t="n"/>
    </row>
    <row r="281" ht="20" customHeight="1">
      <c r="A281" s="2" t="n"/>
      <c r="B281" s="2" t="n"/>
      <c r="C281" s="2" t="n"/>
      <c r="D281" s="2" t="n"/>
      <c r="E281" s="56" t="str">
        <f>IF(A281="","",IF(OR(AJ281="EXCLUDE",COUNTIF(AD281:AH281,"LOW")&gt;0),"EXCLUDE",IF(OR(AJ281&lt;&gt;"INCLUDE",F281&lt;&gt;"SUCCESS",D281&lt;&gt;"STORED",U281="",AP281="",AQ281="",AQ281="UNVERIFIED",AND(AP281="OFFICIAL_WEBSITE",Q281=""),AND(OR(AA281="Equipment manual / OEM instruction",AB281="Asset-specific normative"),OR(Z281&lt;&gt;"Manufacturer / supplier",AS281="",AC281=""))),"PENDING",IF(COUNTIF(AD281:AH281,"HIGH")=5,"INCLUDE","PENDING"))))</f>
        <v/>
      </c>
      <c r="F281" s="2" t="n"/>
      <c r="G281" s="81" t="n"/>
      <c r="H281" s="81" t="n"/>
      <c r="I281" s="2" t="n"/>
      <c r="J281" s="2" t="n"/>
      <c r="K281" s="73" t="str">
        <f>IF(A281="","",IF(J281="AUTO",H281,IF(J281="MANUAL",AK281,"")))</f>
        <v/>
      </c>
      <c r="L281" s="2" t="n"/>
      <c r="M281" s="2" t="n"/>
      <c r="N281" s="56" t="str">
        <f>IF(A281="","",IF(COUNTIFS('Human Operation Desktop'!$A$3:$A$502,A281,'Human Operation Desktop'!$I$3:$I$502,"&lt;&gt;APPLIED",'Human Operation Desktop'!$I$3:$I$502,"&lt;&gt;REJECTED")&gt;0,"YES","NO"))</f>
        <v/>
      </c>
      <c r="O281" s="2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76" t="n"/>
      <c r="AL281" s="3" t="n"/>
      <c r="AM281" s="3" t="n"/>
      <c r="AN281" s="3" t="n"/>
      <c r="AO281" s="3" t="n"/>
      <c r="AP281" s="3" t="n"/>
      <c r="AQ281" s="3" t="n"/>
      <c r="AR281" s="3" t="n"/>
      <c r="AS281" s="3" t="n"/>
    </row>
    <row r="282" ht="20" customHeight="1">
      <c r="A282" s="2" t="n"/>
      <c r="B282" s="2" t="n"/>
      <c r="C282" s="2" t="n"/>
      <c r="D282" s="2" t="n"/>
      <c r="E282" s="53" t="str">
        <f>IF(A282="","",IF(OR(AJ282="EXCLUDE",COUNTIF(AD282:AH282,"LOW")&gt;0),"EXCLUDE",IF(OR(AJ282&lt;&gt;"INCLUDE",F282&lt;&gt;"SUCCESS",D282&lt;&gt;"STORED",U282="",AP282="",AQ282="",AQ282="UNVERIFIED",AND(AP282="OFFICIAL_WEBSITE",Q282=""),AND(OR(AA282="Equipment manual / OEM instruction",AB282="Asset-specific normative"),OR(Z282&lt;&gt;"Manufacturer / supplier",AS282="",AC282=""))),"PENDING",IF(COUNTIF(AD282:AH282,"HIGH")=5,"INCLUDE","PENDING"))))</f>
        <v/>
      </c>
      <c r="F282" s="2" t="n"/>
      <c r="G282" s="81" t="n"/>
      <c r="H282" s="81" t="n"/>
      <c r="I282" s="2" t="n"/>
      <c r="J282" s="2" t="n"/>
      <c r="K282" s="75" t="str">
        <f>IF(A282="","",IF(J282="AUTO",H282,IF(J282="MANUAL",AK282,"")))</f>
        <v/>
      </c>
      <c r="L282" s="2" t="n"/>
      <c r="M282" s="2" t="n"/>
      <c r="N282" s="53" t="str">
        <f>IF(A282="","",IF(COUNTIFS('Human Operation Desktop'!$A$3:$A$502,A282,'Human Operation Desktop'!$I$3:$I$502,"&lt;&gt;APPLIED",'Human Operation Desktop'!$I$3:$I$502,"&lt;&gt;REJECTED")&gt;0,"YES","NO"))</f>
        <v/>
      </c>
      <c r="O282" s="2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76" t="n"/>
      <c r="AL282" s="3" t="n"/>
      <c r="AM282" s="3" t="n"/>
      <c r="AN282" s="3" t="n"/>
      <c r="AO282" s="3" t="n"/>
      <c r="AP282" s="3" t="n"/>
      <c r="AQ282" s="3" t="n"/>
      <c r="AR282" s="3" t="n"/>
      <c r="AS282" s="3" t="n"/>
    </row>
    <row r="283" ht="20" customHeight="1">
      <c r="A283" s="2" t="n"/>
      <c r="B283" s="2" t="n"/>
      <c r="C283" s="2" t="n"/>
      <c r="D283" s="2" t="n"/>
      <c r="E283" s="56" t="str">
        <f>IF(A283="","",IF(OR(AJ283="EXCLUDE",COUNTIF(AD283:AH283,"LOW")&gt;0),"EXCLUDE",IF(OR(AJ283&lt;&gt;"INCLUDE",F283&lt;&gt;"SUCCESS",D283&lt;&gt;"STORED",U283="",AP283="",AQ283="",AQ283="UNVERIFIED",AND(AP283="OFFICIAL_WEBSITE",Q283=""),AND(OR(AA283="Equipment manual / OEM instruction",AB283="Asset-specific normative"),OR(Z283&lt;&gt;"Manufacturer / supplier",AS283="",AC283=""))),"PENDING",IF(COUNTIF(AD283:AH283,"HIGH")=5,"INCLUDE","PENDING"))))</f>
        <v/>
      </c>
      <c r="F283" s="2" t="n"/>
      <c r="G283" s="81" t="n"/>
      <c r="H283" s="81" t="n"/>
      <c r="I283" s="2" t="n"/>
      <c r="J283" s="2" t="n"/>
      <c r="K283" s="73" t="str">
        <f>IF(A283="","",IF(J283="AUTO",H283,IF(J283="MANUAL",AK283,"")))</f>
        <v/>
      </c>
      <c r="L283" s="2" t="n"/>
      <c r="M283" s="2" t="n"/>
      <c r="N283" s="56" t="str">
        <f>IF(A283="","",IF(COUNTIFS('Human Operation Desktop'!$A$3:$A$502,A283,'Human Operation Desktop'!$I$3:$I$502,"&lt;&gt;APPLIED",'Human Operation Desktop'!$I$3:$I$502,"&lt;&gt;REJECTED")&gt;0,"YES","NO"))</f>
        <v/>
      </c>
      <c r="O283" s="2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76" t="n"/>
      <c r="AL283" s="3" t="n"/>
      <c r="AM283" s="3" t="n"/>
      <c r="AN283" s="3" t="n"/>
      <c r="AO283" s="3" t="n"/>
      <c r="AP283" s="3" t="n"/>
      <c r="AQ283" s="3" t="n"/>
      <c r="AR283" s="3" t="n"/>
      <c r="AS283" s="3" t="n"/>
    </row>
    <row r="284" ht="20" customHeight="1">
      <c r="A284" s="2" t="n"/>
      <c r="B284" s="2" t="n"/>
      <c r="C284" s="2" t="n"/>
      <c r="D284" s="2" t="n"/>
      <c r="E284" s="53" t="str">
        <f>IF(A284="","",IF(OR(AJ284="EXCLUDE",COUNTIF(AD284:AH284,"LOW")&gt;0),"EXCLUDE",IF(OR(AJ284&lt;&gt;"INCLUDE",F284&lt;&gt;"SUCCESS",D284&lt;&gt;"STORED",U284="",AP284="",AQ284="",AQ284="UNVERIFIED",AND(AP284="OFFICIAL_WEBSITE",Q284=""),AND(OR(AA284="Equipment manual / OEM instruction",AB284="Asset-specific normative"),OR(Z284&lt;&gt;"Manufacturer / supplier",AS284="",AC284=""))),"PENDING",IF(COUNTIF(AD284:AH284,"HIGH")=5,"INCLUDE","PENDING"))))</f>
        <v/>
      </c>
      <c r="F284" s="2" t="n"/>
      <c r="G284" s="81" t="n"/>
      <c r="H284" s="81" t="n"/>
      <c r="I284" s="2" t="n"/>
      <c r="J284" s="2" t="n"/>
      <c r="K284" s="75" t="str">
        <f>IF(A284="","",IF(J284="AUTO",H284,IF(J284="MANUAL",AK284,"")))</f>
        <v/>
      </c>
      <c r="L284" s="2" t="n"/>
      <c r="M284" s="2" t="n"/>
      <c r="N284" s="53" t="str">
        <f>IF(A284="","",IF(COUNTIFS('Human Operation Desktop'!$A$3:$A$502,A284,'Human Operation Desktop'!$I$3:$I$502,"&lt;&gt;APPLIED",'Human Operation Desktop'!$I$3:$I$502,"&lt;&gt;REJECTED")&gt;0,"YES","NO"))</f>
        <v/>
      </c>
      <c r="O284" s="2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76" t="n"/>
      <c r="AL284" s="3" t="n"/>
      <c r="AM284" s="3" t="n"/>
      <c r="AN284" s="3" t="n"/>
      <c r="AO284" s="3" t="n"/>
      <c r="AP284" s="3" t="n"/>
      <c r="AQ284" s="3" t="n"/>
      <c r="AR284" s="3" t="n"/>
      <c r="AS284" s="3" t="n"/>
    </row>
    <row r="285" ht="20" customHeight="1">
      <c r="A285" s="2" t="n"/>
      <c r="B285" s="2" t="n"/>
      <c r="C285" s="2" t="n"/>
      <c r="D285" s="2" t="n"/>
      <c r="E285" s="56" t="str">
        <f>IF(A285="","",IF(OR(AJ285="EXCLUDE",COUNTIF(AD285:AH285,"LOW")&gt;0),"EXCLUDE",IF(OR(AJ285&lt;&gt;"INCLUDE",F285&lt;&gt;"SUCCESS",D285&lt;&gt;"STORED",U285="",AP285="",AQ285="",AQ285="UNVERIFIED",AND(AP285="OFFICIAL_WEBSITE",Q285=""),AND(OR(AA285="Equipment manual / OEM instruction",AB285="Asset-specific normative"),OR(Z285&lt;&gt;"Manufacturer / supplier",AS285="",AC285=""))),"PENDING",IF(COUNTIF(AD285:AH285,"HIGH")=5,"INCLUDE","PENDING"))))</f>
        <v/>
      </c>
      <c r="F285" s="2" t="n"/>
      <c r="G285" s="81" t="n"/>
      <c r="H285" s="81" t="n"/>
      <c r="I285" s="2" t="n"/>
      <c r="J285" s="2" t="n"/>
      <c r="K285" s="73" t="str">
        <f>IF(A285="","",IF(J285="AUTO",H285,IF(J285="MANUAL",AK285,"")))</f>
        <v/>
      </c>
      <c r="L285" s="2" t="n"/>
      <c r="M285" s="2" t="n"/>
      <c r="N285" s="56" t="str">
        <f>IF(A285="","",IF(COUNTIFS('Human Operation Desktop'!$A$3:$A$502,A285,'Human Operation Desktop'!$I$3:$I$502,"&lt;&gt;APPLIED",'Human Operation Desktop'!$I$3:$I$502,"&lt;&gt;REJECTED")&gt;0,"YES","NO"))</f>
        <v/>
      </c>
      <c r="O285" s="2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76" t="n"/>
      <c r="AL285" s="3" t="n"/>
      <c r="AM285" s="3" t="n"/>
      <c r="AN285" s="3" t="n"/>
      <c r="AO285" s="3" t="n"/>
      <c r="AP285" s="3" t="n"/>
      <c r="AQ285" s="3" t="n"/>
      <c r="AR285" s="3" t="n"/>
      <c r="AS285" s="3" t="n"/>
    </row>
    <row r="286" ht="20" customHeight="1">
      <c r="A286" s="2" t="n"/>
      <c r="B286" s="2" t="n"/>
      <c r="C286" s="2" t="n"/>
      <c r="D286" s="2" t="n"/>
      <c r="E286" s="53" t="str">
        <f>IF(A286="","",IF(OR(AJ286="EXCLUDE",COUNTIF(AD286:AH286,"LOW")&gt;0),"EXCLUDE",IF(OR(AJ286&lt;&gt;"INCLUDE",F286&lt;&gt;"SUCCESS",D286&lt;&gt;"STORED",U286="",AP286="",AQ286="",AQ286="UNVERIFIED",AND(AP286="OFFICIAL_WEBSITE",Q286=""),AND(OR(AA286="Equipment manual / OEM instruction",AB286="Asset-specific normative"),OR(Z286&lt;&gt;"Manufacturer / supplier",AS286="",AC286=""))),"PENDING",IF(COUNTIF(AD286:AH286,"HIGH")=5,"INCLUDE","PENDING"))))</f>
        <v/>
      </c>
      <c r="F286" s="2" t="n"/>
      <c r="G286" s="81" t="n"/>
      <c r="H286" s="81" t="n"/>
      <c r="I286" s="2" t="n"/>
      <c r="J286" s="2" t="n"/>
      <c r="K286" s="75" t="str">
        <f>IF(A286="","",IF(J286="AUTO",H286,IF(J286="MANUAL",AK286,"")))</f>
        <v/>
      </c>
      <c r="L286" s="2" t="n"/>
      <c r="M286" s="2" t="n"/>
      <c r="N286" s="53" t="str">
        <f>IF(A286="","",IF(COUNTIFS('Human Operation Desktop'!$A$3:$A$502,A286,'Human Operation Desktop'!$I$3:$I$502,"&lt;&gt;APPLIED",'Human Operation Desktop'!$I$3:$I$502,"&lt;&gt;REJECTED")&gt;0,"YES","NO"))</f>
        <v/>
      </c>
      <c r="O286" s="2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76" t="n"/>
      <c r="AL286" s="3" t="n"/>
      <c r="AM286" s="3" t="n"/>
      <c r="AN286" s="3" t="n"/>
      <c r="AO286" s="3" t="n"/>
      <c r="AP286" s="3" t="n"/>
      <c r="AQ286" s="3" t="n"/>
      <c r="AR286" s="3" t="n"/>
      <c r="AS286" s="3" t="n"/>
    </row>
    <row r="287" ht="20" customHeight="1">
      <c r="A287" s="2" t="n"/>
      <c r="B287" s="2" t="n"/>
      <c r="C287" s="2" t="n"/>
      <c r="D287" s="2" t="n"/>
      <c r="E287" s="56" t="str">
        <f>IF(A287="","",IF(OR(AJ287="EXCLUDE",COUNTIF(AD287:AH287,"LOW")&gt;0),"EXCLUDE",IF(OR(AJ287&lt;&gt;"INCLUDE",F287&lt;&gt;"SUCCESS",D287&lt;&gt;"STORED",U287="",AP287="",AQ287="",AQ287="UNVERIFIED",AND(AP287="OFFICIAL_WEBSITE",Q287=""),AND(OR(AA287="Equipment manual / OEM instruction",AB287="Asset-specific normative"),OR(Z287&lt;&gt;"Manufacturer / supplier",AS287="",AC287=""))),"PENDING",IF(COUNTIF(AD287:AH287,"HIGH")=5,"INCLUDE","PENDING"))))</f>
        <v/>
      </c>
      <c r="F287" s="2" t="n"/>
      <c r="G287" s="81" t="n"/>
      <c r="H287" s="81" t="n"/>
      <c r="I287" s="2" t="n"/>
      <c r="J287" s="2" t="n"/>
      <c r="K287" s="73" t="str">
        <f>IF(A287="","",IF(J287="AUTO",H287,IF(J287="MANUAL",AK287,"")))</f>
        <v/>
      </c>
      <c r="L287" s="2" t="n"/>
      <c r="M287" s="2" t="n"/>
      <c r="N287" s="56" t="str">
        <f>IF(A287="","",IF(COUNTIFS('Human Operation Desktop'!$A$3:$A$502,A287,'Human Operation Desktop'!$I$3:$I$502,"&lt;&gt;APPLIED",'Human Operation Desktop'!$I$3:$I$502,"&lt;&gt;REJECTED")&gt;0,"YES","NO"))</f>
        <v/>
      </c>
      <c r="O287" s="2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76" t="n"/>
      <c r="AL287" s="3" t="n"/>
      <c r="AM287" s="3" t="n"/>
      <c r="AN287" s="3" t="n"/>
      <c r="AO287" s="3" t="n"/>
      <c r="AP287" s="3" t="n"/>
      <c r="AQ287" s="3" t="n"/>
      <c r="AR287" s="3" t="n"/>
      <c r="AS287" s="3" t="n"/>
    </row>
    <row r="288" ht="20" customHeight="1">
      <c r="A288" s="2" t="n"/>
      <c r="B288" s="2" t="n"/>
      <c r="C288" s="2" t="n"/>
      <c r="D288" s="2" t="n"/>
      <c r="E288" s="53" t="str">
        <f>IF(A288="","",IF(OR(AJ288="EXCLUDE",COUNTIF(AD288:AH288,"LOW")&gt;0),"EXCLUDE",IF(OR(AJ288&lt;&gt;"INCLUDE",F288&lt;&gt;"SUCCESS",D288&lt;&gt;"STORED",U288="",AP288="",AQ288="",AQ288="UNVERIFIED",AND(AP288="OFFICIAL_WEBSITE",Q288=""),AND(OR(AA288="Equipment manual / OEM instruction",AB288="Asset-specific normative"),OR(Z288&lt;&gt;"Manufacturer / supplier",AS288="",AC288=""))),"PENDING",IF(COUNTIF(AD288:AH288,"HIGH")=5,"INCLUDE","PENDING"))))</f>
        <v/>
      </c>
      <c r="F288" s="2" t="n"/>
      <c r="G288" s="81" t="n"/>
      <c r="H288" s="81" t="n"/>
      <c r="I288" s="2" t="n"/>
      <c r="J288" s="2" t="n"/>
      <c r="K288" s="75" t="str">
        <f>IF(A288="","",IF(J288="AUTO",H288,IF(J288="MANUAL",AK288,"")))</f>
        <v/>
      </c>
      <c r="L288" s="2" t="n"/>
      <c r="M288" s="2" t="n"/>
      <c r="N288" s="53" t="str">
        <f>IF(A288="","",IF(COUNTIFS('Human Operation Desktop'!$A$3:$A$502,A288,'Human Operation Desktop'!$I$3:$I$502,"&lt;&gt;APPLIED",'Human Operation Desktop'!$I$3:$I$502,"&lt;&gt;REJECTED")&gt;0,"YES","NO"))</f>
        <v/>
      </c>
      <c r="O288" s="2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76" t="n"/>
      <c r="AL288" s="3" t="n"/>
      <c r="AM288" s="3" t="n"/>
      <c r="AN288" s="3" t="n"/>
      <c r="AO288" s="3" t="n"/>
      <c r="AP288" s="3" t="n"/>
      <c r="AQ288" s="3" t="n"/>
      <c r="AR288" s="3" t="n"/>
      <c r="AS288" s="3" t="n"/>
    </row>
    <row r="289" ht="20" customHeight="1">
      <c r="A289" s="2" t="n"/>
      <c r="B289" s="2" t="n"/>
      <c r="C289" s="2" t="n"/>
      <c r="D289" s="2" t="n"/>
      <c r="E289" s="56" t="str">
        <f>IF(A289="","",IF(OR(AJ289="EXCLUDE",COUNTIF(AD289:AH289,"LOW")&gt;0),"EXCLUDE",IF(OR(AJ289&lt;&gt;"INCLUDE",F289&lt;&gt;"SUCCESS",D289&lt;&gt;"STORED",U289="",AP289="",AQ289="",AQ289="UNVERIFIED",AND(AP289="OFFICIAL_WEBSITE",Q289=""),AND(OR(AA289="Equipment manual / OEM instruction",AB289="Asset-specific normative"),OR(Z289&lt;&gt;"Manufacturer / supplier",AS289="",AC289=""))),"PENDING",IF(COUNTIF(AD289:AH289,"HIGH")=5,"INCLUDE","PENDING"))))</f>
        <v/>
      </c>
      <c r="F289" s="2" t="n"/>
      <c r="G289" s="81" t="n"/>
      <c r="H289" s="81" t="n"/>
      <c r="I289" s="2" t="n"/>
      <c r="J289" s="2" t="n"/>
      <c r="K289" s="73" t="str">
        <f>IF(A289="","",IF(J289="AUTO",H289,IF(J289="MANUAL",AK289,"")))</f>
        <v/>
      </c>
      <c r="L289" s="2" t="n"/>
      <c r="M289" s="2" t="n"/>
      <c r="N289" s="56" t="str">
        <f>IF(A289="","",IF(COUNTIFS('Human Operation Desktop'!$A$3:$A$502,A289,'Human Operation Desktop'!$I$3:$I$502,"&lt;&gt;APPLIED",'Human Operation Desktop'!$I$3:$I$502,"&lt;&gt;REJECTED")&gt;0,"YES","NO"))</f>
        <v/>
      </c>
      <c r="O289" s="2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76" t="n"/>
      <c r="AL289" s="3" t="n"/>
      <c r="AM289" s="3" t="n"/>
      <c r="AN289" s="3" t="n"/>
      <c r="AO289" s="3" t="n"/>
      <c r="AP289" s="3" t="n"/>
      <c r="AQ289" s="3" t="n"/>
      <c r="AR289" s="3" t="n"/>
      <c r="AS289" s="3" t="n"/>
    </row>
    <row r="290" ht="20" customHeight="1">
      <c r="A290" s="2" t="n"/>
      <c r="B290" s="2" t="n"/>
      <c r="C290" s="2" t="n"/>
      <c r="D290" s="2" t="n"/>
      <c r="E290" s="53" t="str">
        <f>IF(A290="","",IF(OR(AJ290="EXCLUDE",COUNTIF(AD290:AH290,"LOW")&gt;0),"EXCLUDE",IF(OR(AJ290&lt;&gt;"INCLUDE",F290&lt;&gt;"SUCCESS",D290&lt;&gt;"STORED",U290="",AP290="",AQ290="",AQ290="UNVERIFIED",AND(AP290="OFFICIAL_WEBSITE",Q290=""),AND(OR(AA290="Equipment manual / OEM instruction",AB290="Asset-specific normative"),OR(Z290&lt;&gt;"Manufacturer / supplier",AS290="",AC290=""))),"PENDING",IF(COUNTIF(AD290:AH290,"HIGH")=5,"INCLUDE","PENDING"))))</f>
        <v/>
      </c>
      <c r="F290" s="2" t="n"/>
      <c r="G290" s="81" t="n"/>
      <c r="H290" s="81" t="n"/>
      <c r="I290" s="2" t="n"/>
      <c r="J290" s="2" t="n"/>
      <c r="K290" s="75" t="str">
        <f>IF(A290="","",IF(J290="AUTO",H290,IF(J290="MANUAL",AK290,"")))</f>
        <v/>
      </c>
      <c r="L290" s="2" t="n"/>
      <c r="M290" s="2" t="n"/>
      <c r="N290" s="53" t="str">
        <f>IF(A290="","",IF(COUNTIFS('Human Operation Desktop'!$A$3:$A$502,A290,'Human Operation Desktop'!$I$3:$I$502,"&lt;&gt;APPLIED",'Human Operation Desktop'!$I$3:$I$502,"&lt;&gt;REJECTED")&gt;0,"YES","NO"))</f>
        <v/>
      </c>
      <c r="O290" s="2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76" t="n"/>
      <c r="AL290" s="3" t="n"/>
      <c r="AM290" s="3" t="n"/>
      <c r="AN290" s="3" t="n"/>
      <c r="AO290" s="3" t="n"/>
      <c r="AP290" s="3" t="n"/>
      <c r="AQ290" s="3" t="n"/>
      <c r="AR290" s="3" t="n"/>
      <c r="AS290" s="3" t="n"/>
    </row>
    <row r="291" ht="20" customHeight="1">
      <c r="A291" s="2" t="n"/>
      <c r="B291" s="2" t="n"/>
      <c r="C291" s="2" t="n"/>
      <c r="D291" s="2" t="n"/>
      <c r="E291" s="56" t="str">
        <f>IF(A291="","",IF(OR(AJ291="EXCLUDE",COUNTIF(AD291:AH291,"LOW")&gt;0),"EXCLUDE",IF(OR(AJ291&lt;&gt;"INCLUDE",F291&lt;&gt;"SUCCESS",D291&lt;&gt;"STORED",U291="",AP291="",AQ291="",AQ291="UNVERIFIED",AND(AP291="OFFICIAL_WEBSITE",Q291=""),AND(OR(AA291="Equipment manual / OEM instruction",AB291="Asset-specific normative"),OR(Z291&lt;&gt;"Manufacturer / supplier",AS291="",AC291=""))),"PENDING",IF(COUNTIF(AD291:AH291,"HIGH")=5,"INCLUDE","PENDING"))))</f>
        <v/>
      </c>
      <c r="F291" s="2" t="n"/>
      <c r="G291" s="81" t="n"/>
      <c r="H291" s="81" t="n"/>
      <c r="I291" s="2" t="n"/>
      <c r="J291" s="2" t="n"/>
      <c r="K291" s="73" t="str">
        <f>IF(A291="","",IF(J291="AUTO",H291,IF(J291="MANUAL",AK291,"")))</f>
        <v/>
      </c>
      <c r="L291" s="2" t="n"/>
      <c r="M291" s="2" t="n"/>
      <c r="N291" s="56" t="str">
        <f>IF(A291="","",IF(COUNTIFS('Human Operation Desktop'!$A$3:$A$502,A291,'Human Operation Desktop'!$I$3:$I$502,"&lt;&gt;APPLIED",'Human Operation Desktop'!$I$3:$I$502,"&lt;&gt;REJECTED")&gt;0,"YES","NO"))</f>
        <v/>
      </c>
      <c r="O291" s="2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76" t="n"/>
      <c r="AL291" s="3" t="n"/>
      <c r="AM291" s="3" t="n"/>
      <c r="AN291" s="3" t="n"/>
      <c r="AO291" s="3" t="n"/>
      <c r="AP291" s="3" t="n"/>
      <c r="AQ291" s="3" t="n"/>
      <c r="AR291" s="3" t="n"/>
      <c r="AS291" s="3" t="n"/>
    </row>
    <row r="292" ht="20" customHeight="1">
      <c r="A292" s="2" t="n"/>
      <c r="B292" s="2" t="n"/>
      <c r="C292" s="2" t="n"/>
      <c r="D292" s="2" t="n"/>
      <c r="E292" s="53" t="str">
        <f>IF(A292="","",IF(OR(AJ292="EXCLUDE",COUNTIF(AD292:AH292,"LOW")&gt;0),"EXCLUDE",IF(OR(AJ292&lt;&gt;"INCLUDE",F292&lt;&gt;"SUCCESS",D292&lt;&gt;"STORED",U292="",AP292="",AQ292="",AQ292="UNVERIFIED",AND(AP292="OFFICIAL_WEBSITE",Q292=""),AND(OR(AA292="Equipment manual / OEM instruction",AB292="Asset-specific normative"),OR(Z292&lt;&gt;"Manufacturer / supplier",AS292="",AC292=""))),"PENDING",IF(COUNTIF(AD292:AH292,"HIGH")=5,"INCLUDE","PENDING"))))</f>
        <v/>
      </c>
      <c r="F292" s="2" t="n"/>
      <c r="G292" s="81" t="n"/>
      <c r="H292" s="81" t="n"/>
      <c r="I292" s="2" t="n"/>
      <c r="J292" s="2" t="n"/>
      <c r="K292" s="75" t="str">
        <f>IF(A292="","",IF(J292="AUTO",H292,IF(J292="MANUAL",AK292,"")))</f>
        <v/>
      </c>
      <c r="L292" s="2" t="n"/>
      <c r="M292" s="2" t="n"/>
      <c r="N292" s="53" t="str">
        <f>IF(A292="","",IF(COUNTIFS('Human Operation Desktop'!$A$3:$A$502,A292,'Human Operation Desktop'!$I$3:$I$502,"&lt;&gt;APPLIED",'Human Operation Desktop'!$I$3:$I$502,"&lt;&gt;REJECTED")&gt;0,"YES","NO"))</f>
        <v/>
      </c>
      <c r="O292" s="2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76" t="n"/>
      <c r="AL292" s="3" t="n"/>
      <c r="AM292" s="3" t="n"/>
      <c r="AN292" s="3" t="n"/>
      <c r="AO292" s="3" t="n"/>
      <c r="AP292" s="3" t="n"/>
      <c r="AQ292" s="3" t="n"/>
      <c r="AR292" s="3" t="n"/>
      <c r="AS292" s="3" t="n"/>
    </row>
    <row r="293" ht="20" customHeight="1">
      <c r="A293" s="2" t="n"/>
      <c r="B293" s="2" t="n"/>
      <c r="C293" s="2" t="n"/>
      <c r="D293" s="2" t="n"/>
      <c r="E293" s="56" t="str">
        <f>IF(A293="","",IF(OR(AJ293="EXCLUDE",COUNTIF(AD293:AH293,"LOW")&gt;0),"EXCLUDE",IF(OR(AJ293&lt;&gt;"INCLUDE",F293&lt;&gt;"SUCCESS",D293&lt;&gt;"STORED",U293="",AP293="",AQ293="",AQ293="UNVERIFIED",AND(AP293="OFFICIAL_WEBSITE",Q293=""),AND(OR(AA293="Equipment manual / OEM instruction",AB293="Asset-specific normative"),OR(Z293&lt;&gt;"Manufacturer / supplier",AS293="",AC293=""))),"PENDING",IF(COUNTIF(AD293:AH293,"HIGH")=5,"INCLUDE","PENDING"))))</f>
        <v/>
      </c>
      <c r="F293" s="2" t="n"/>
      <c r="G293" s="81" t="n"/>
      <c r="H293" s="81" t="n"/>
      <c r="I293" s="2" t="n"/>
      <c r="J293" s="2" t="n"/>
      <c r="K293" s="73" t="str">
        <f>IF(A293="","",IF(J293="AUTO",H293,IF(J293="MANUAL",AK293,"")))</f>
        <v/>
      </c>
      <c r="L293" s="2" t="n"/>
      <c r="M293" s="2" t="n"/>
      <c r="N293" s="56" t="str">
        <f>IF(A293="","",IF(COUNTIFS('Human Operation Desktop'!$A$3:$A$502,A293,'Human Operation Desktop'!$I$3:$I$502,"&lt;&gt;APPLIED",'Human Operation Desktop'!$I$3:$I$502,"&lt;&gt;REJECTED")&gt;0,"YES","NO"))</f>
        <v/>
      </c>
      <c r="O293" s="2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76" t="n"/>
      <c r="AL293" s="3" t="n"/>
      <c r="AM293" s="3" t="n"/>
      <c r="AN293" s="3" t="n"/>
      <c r="AO293" s="3" t="n"/>
      <c r="AP293" s="3" t="n"/>
      <c r="AQ293" s="3" t="n"/>
      <c r="AR293" s="3" t="n"/>
      <c r="AS293" s="3" t="n"/>
    </row>
    <row r="294" ht="20" customHeight="1">
      <c r="A294" s="2" t="n"/>
      <c r="B294" s="2" t="n"/>
      <c r="C294" s="2" t="n"/>
      <c r="D294" s="2" t="n"/>
      <c r="E294" s="53" t="str">
        <f>IF(A294="","",IF(OR(AJ294="EXCLUDE",COUNTIF(AD294:AH294,"LOW")&gt;0),"EXCLUDE",IF(OR(AJ294&lt;&gt;"INCLUDE",F294&lt;&gt;"SUCCESS",D294&lt;&gt;"STORED",U294="",AP294="",AQ294="",AQ294="UNVERIFIED",AND(AP294="OFFICIAL_WEBSITE",Q294=""),AND(OR(AA294="Equipment manual / OEM instruction",AB294="Asset-specific normative"),OR(Z294&lt;&gt;"Manufacturer / supplier",AS294="",AC294=""))),"PENDING",IF(COUNTIF(AD294:AH294,"HIGH")=5,"INCLUDE","PENDING"))))</f>
        <v/>
      </c>
      <c r="F294" s="2" t="n"/>
      <c r="G294" s="81" t="n"/>
      <c r="H294" s="81" t="n"/>
      <c r="I294" s="2" t="n"/>
      <c r="J294" s="2" t="n"/>
      <c r="K294" s="75" t="str">
        <f>IF(A294="","",IF(J294="AUTO",H294,IF(J294="MANUAL",AK294,"")))</f>
        <v/>
      </c>
      <c r="L294" s="2" t="n"/>
      <c r="M294" s="2" t="n"/>
      <c r="N294" s="53" t="str">
        <f>IF(A294="","",IF(COUNTIFS('Human Operation Desktop'!$A$3:$A$502,A294,'Human Operation Desktop'!$I$3:$I$502,"&lt;&gt;APPLIED",'Human Operation Desktop'!$I$3:$I$502,"&lt;&gt;REJECTED")&gt;0,"YES","NO"))</f>
        <v/>
      </c>
      <c r="O294" s="2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76" t="n"/>
      <c r="AL294" s="3" t="n"/>
      <c r="AM294" s="3" t="n"/>
      <c r="AN294" s="3" t="n"/>
      <c r="AO294" s="3" t="n"/>
      <c r="AP294" s="3" t="n"/>
      <c r="AQ294" s="3" t="n"/>
      <c r="AR294" s="3" t="n"/>
      <c r="AS294" s="3" t="n"/>
    </row>
    <row r="295" ht="20" customHeight="1">
      <c r="A295" s="2" t="n"/>
      <c r="B295" s="2" t="n"/>
      <c r="C295" s="2" t="n"/>
      <c r="D295" s="2" t="n"/>
      <c r="E295" s="56" t="str">
        <f>IF(A295="","",IF(OR(AJ295="EXCLUDE",COUNTIF(AD295:AH295,"LOW")&gt;0),"EXCLUDE",IF(OR(AJ295&lt;&gt;"INCLUDE",F295&lt;&gt;"SUCCESS",D295&lt;&gt;"STORED",U295="",AP295="",AQ295="",AQ295="UNVERIFIED",AND(AP295="OFFICIAL_WEBSITE",Q295=""),AND(OR(AA295="Equipment manual / OEM instruction",AB295="Asset-specific normative"),OR(Z295&lt;&gt;"Manufacturer / supplier",AS295="",AC295=""))),"PENDING",IF(COUNTIF(AD295:AH295,"HIGH")=5,"INCLUDE","PENDING"))))</f>
        <v/>
      </c>
      <c r="F295" s="2" t="n"/>
      <c r="G295" s="81" t="n"/>
      <c r="H295" s="81" t="n"/>
      <c r="I295" s="2" t="n"/>
      <c r="J295" s="2" t="n"/>
      <c r="K295" s="73" t="str">
        <f>IF(A295="","",IF(J295="AUTO",H295,IF(J295="MANUAL",AK295,"")))</f>
        <v/>
      </c>
      <c r="L295" s="2" t="n"/>
      <c r="M295" s="2" t="n"/>
      <c r="N295" s="56" t="str">
        <f>IF(A295="","",IF(COUNTIFS('Human Operation Desktop'!$A$3:$A$502,A295,'Human Operation Desktop'!$I$3:$I$502,"&lt;&gt;APPLIED",'Human Operation Desktop'!$I$3:$I$502,"&lt;&gt;REJECTED")&gt;0,"YES","NO"))</f>
        <v/>
      </c>
      <c r="O295" s="2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76" t="n"/>
      <c r="AL295" s="3" t="n"/>
      <c r="AM295" s="3" t="n"/>
      <c r="AN295" s="3" t="n"/>
      <c r="AO295" s="3" t="n"/>
      <c r="AP295" s="3" t="n"/>
      <c r="AQ295" s="3" t="n"/>
      <c r="AR295" s="3" t="n"/>
      <c r="AS295" s="3" t="n"/>
    </row>
    <row r="296" ht="20" customHeight="1">
      <c r="A296" s="2" t="n"/>
      <c r="B296" s="2" t="n"/>
      <c r="C296" s="2" t="n"/>
      <c r="D296" s="2" t="n"/>
      <c r="E296" s="53" t="str">
        <f>IF(A296="","",IF(OR(AJ296="EXCLUDE",COUNTIF(AD296:AH296,"LOW")&gt;0),"EXCLUDE",IF(OR(AJ296&lt;&gt;"INCLUDE",F296&lt;&gt;"SUCCESS",D296&lt;&gt;"STORED",U296="",AP296="",AQ296="",AQ296="UNVERIFIED",AND(AP296="OFFICIAL_WEBSITE",Q296=""),AND(OR(AA296="Equipment manual / OEM instruction",AB296="Asset-specific normative"),OR(Z296&lt;&gt;"Manufacturer / supplier",AS296="",AC296=""))),"PENDING",IF(COUNTIF(AD296:AH296,"HIGH")=5,"INCLUDE","PENDING"))))</f>
        <v/>
      </c>
      <c r="F296" s="2" t="n"/>
      <c r="G296" s="81" t="n"/>
      <c r="H296" s="81" t="n"/>
      <c r="I296" s="2" t="n"/>
      <c r="J296" s="2" t="n"/>
      <c r="K296" s="75" t="str">
        <f>IF(A296="","",IF(J296="AUTO",H296,IF(J296="MANUAL",AK296,"")))</f>
        <v/>
      </c>
      <c r="L296" s="2" t="n"/>
      <c r="M296" s="2" t="n"/>
      <c r="N296" s="53" t="str">
        <f>IF(A296="","",IF(COUNTIFS('Human Operation Desktop'!$A$3:$A$502,A296,'Human Operation Desktop'!$I$3:$I$502,"&lt;&gt;APPLIED",'Human Operation Desktop'!$I$3:$I$502,"&lt;&gt;REJECTED")&gt;0,"YES","NO"))</f>
        <v/>
      </c>
      <c r="O296" s="2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76" t="n"/>
      <c r="AL296" s="3" t="n"/>
      <c r="AM296" s="3" t="n"/>
      <c r="AN296" s="3" t="n"/>
      <c r="AO296" s="3" t="n"/>
      <c r="AP296" s="3" t="n"/>
      <c r="AQ296" s="3" t="n"/>
      <c r="AR296" s="3" t="n"/>
      <c r="AS296" s="3" t="n"/>
    </row>
    <row r="297" ht="20" customHeight="1">
      <c r="A297" s="2" t="n"/>
      <c r="B297" s="2" t="n"/>
      <c r="C297" s="2" t="n"/>
      <c r="D297" s="2" t="n"/>
      <c r="E297" s="56" t="str">
        <f>IF(A297="","",IF(OR(AJ297="EXCLUDE",COUNTIF(AD297:AH297,"LOW")&gt;0),"EXCLUDE",IF(OR(AJ297&lt;&gt;"INCLUDE",F297&lt;&gt;"SUCCESS",D297&lt;&gt;"STORED",U297="",AP297="",AQ297="",AQ297="UNVERIFIED",AND(AP297="OFFICIAL_WEBSITE",Q297=""),AND(OR(AA297="Equipment manual / OEM instruction",AB297="Asset-specific normative"),OR(Z297&lt;&gt;"Manufacturer / supplier",AS297="",AC297=""))),"PENDING",IF(COUNTIF(AD297:AH297,"HIGH")=5,"INCLUDE","PENDING"))))</f>
        <v/>
      </c>
      <c r="F297" s="2" t="n"/>
      <c r="G297" s="81" t="n"/>
      <c r="H297" s="81" t="n"/>
      <c r="I297" s="2" t="n"/>
      <c r="J297" s="2" t="n"/>
      <c r="K297" s="73" t="str">
        <f>IF(A297="","",IF(J297="AUTO",H297,IF(J297="MANUAL",AK297,"")))</f>
        <v/>
      </c>
      <c r="L297" s="2" t="n"/>
      <c r="M297" s="2" t="n"/>
      <c r="N297" s="56" t="str">
        <f>IF(A297="","",IF(COUNTIFS('Human Operation Desktop'!$A$3:$A$502,A297,'Human Operation Desktop'!$I$3:$I$502,"&lt;&gt;APPLIED",'Human Operation Desktop'!$I$3:$I$502,"&lt;&gt;REJECTED")&gt;0,"YES","NO"))</f>
        <v/>
      </c>
      <c r="O297" s="2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76" t="n"/>
      <c r="AL297" s="3" t="n"/>
      <c r="AM297" s="3" t="n"/>
      <c r="AN297" s="3" t="n"/>
      <c r="AO297" s="3" t="n"/>
      <c r="AP297" s="3" t="n"/>
      <c r="AQ297" s="3" t="n"/>
      <c r="AR297" s="3" t="n"/>
      <c r="AS297" s="3" t="n"/>
    </row>
    <row r="298" ht="20" customHeight="1">
      <c r="A298" s="2" t="n"/>
      <c r="B298" s="2" t="n"/>
      <c r="C298" s="2" t="n"/>
      <c r="D298" s="2" t="n"/>
      <c r="E298" s="53" t="str">
        <f>IF(A298="","",IF(OR(AJ298="EXCLUDE",COUNTIF(AD298:AH298,"LOW")&gt;0),"EXCLUDE",IF(OR(AJ298&lt;&gt;"INCLUDE",F298&lt;&gt;"SUCCESS",D298&lt;&gt;"STORED",U298="",AP298="",AQ298="",AQ298="UNVERIFIED",AND(AP298="OFFICIAL_WEBSITE",Q298=""),AND(OR(AA298="Equipment manual / OEM instruction",AB298="Asset-specific normative"),OR(Z298&lt;&gt;"Manufacturer / supplier",AS298="",AC298=""))),"PENDING",IF(COUNTIF(AD298:AH298,"HIGH")=5,"INCLUDE","PENDING"))))</f>
        <v/>
      </c>
      <c r="F298" s="2" t="n"/>
      <c r="G298" s="81" t="n"/>
      <c r="H298" s="81" t="n"/>
      <c r="I298" s="2" t="n"/>
      <c r="J298" s="2" t="n"/>
      <c r="K298" s="75" t="str">
        <f>IF(A298="","",IF(J298="AUTO",H298,IF(J298="MANUAL",AK298,"")))</f>
        <v/>
      </c>
      <c r="L298" s="2" t="n"/>
      <c r="M298" s="2" t="n"/>
      <c r="N298" s="53" t="str">
        <f>IF(A298="","",IF(COUNTIFS('Human Operation Desktop'!$A$3:$A$502,A298,'Human Operation Desktop'!$I$3:$I$502,"&lt;&gt;APPLIED",'Human Operation Desktop'!$I$3:$I$502,"&lt;&gt;REJECTED")&gt;0,"YES","NO"))</f>
        <v/>
      </c>
      <c r="O298" s="2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76" t="n"/>
      <c r="AL298" s="3" t="n"/>
      <c r="AM298" s="3" t="n"/>
      <c r="AN298" s="3" t="n"/>
      <c r="AO298" s="3" t="n"/>
      <c r="AP298" s="3" t="n"/>
      <c r="AQ298" s="3" t="n"/>
      <c r="AR298" s="3" t="n"/>
      <c r="AS298" s="3" t="n"/>
    </row>
    <row r="299" ht="20" customHeight="1">
      <c r="A299" s="2" t="n"/>
      <c r="B299" s="2" t="n"/>
      <c r="C299" s="2" t="n"/>
      <c r="D299" s="2" t="n"/>
      <c r="E299" s="56" t="str">
        <f>IF(A299="","",IF(OR(AJ299="EXCLUDE",COUNTIF(AD299:AH299,"LOW")&gt;0),"EXCLUDE",IF(OR(AJ299&lt;&gt;"INCLUDE",F299&lt;&gt;"SUCCESS",D299&lt;&gt;"STORED",U299="",AP299="",AQ299="",AQ299="UNVERIFIED",AND(AP299="OFFICIAL_WEBSITE",Q299=""),AND(OR(AA299="Equipment manual / OEM instruction",AB299="Asset-specific normative"),OR(Z299&lt;&gt;"Manufacturer / supplier",AS299="",AC299=""))),"PENDING",IF(COUNTIF(AD299:AH299,"HIGH")=5,"INCLUDE","PENDING"))))</f>
        <v/>
      </c>
      <c r="F299" s="2" t="n"/>
      <c r="G299" s="81" t="n"/>
      <c r="H299" s="81" t="n"/>
      <c r="I299" s="2" t="n"/>
      <c r="J299" s="2" t="n"/>
      <c r="K299" s="73" t="str">
        <f>IF(A299="","",IF(J299="AUTO",H299,IF(J299="MANUAL",AK299,"")))</f>
        <v/>
      </c>
      <c r="L299" s="2" t="n"/>
      <c r="M299" s="2" t="n"/>
      <c r="N299" s="56" t="str">
        <f>IF(A299="","",IF(COUNTIFS('Human Operation Desktop'!$A$3:$A$502,A299,'Human Operation Desktop'!$I$3:$I$502,"&lt;&gt;APPLIED",'Human Operation Desktop'!$I$3:$I$502,"&lt;&gt;REJECTED")&gt;0,"YES","NO"))</f>
        <v/>
      </c>
      <c r="O299" s="2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76" t="n"/>
      <c r="AL299" s="3" t="n"/>
      <c r="AM299" s="3" t="n"/>
      <c r="AN299" s="3" t="n"/>
      <c r="AO299" s="3" t="n"/>
      <c r="AP299" s="3" t="n"/>
      <c r="AQ299" s="3" t="n"/>
      <c r="AR299" s="3" t="n"/>
      <c r="AS299" s="3" t="n"/>
    </row>
    <row r="300" ht="20" customHeight="1">
      <c r="A300" s="2" t="n"/>
      <c r="B300" s="2" t="n"/>
      <c r="C300" s="2" t="n"/>
      <c r="D300" s="2" t="n"/>
      <c r="E300" s="53" t="str">
        <f>IF(A300="","",IF(OR(AJ300="EXCLUDE",COUNTIF(AD300:AH300,"LOW")&gt;0),"EXCLUDE",IF(OR(AJ300&lt;&gt;"INCLUDE",F300&lt;&gt;"SUCCESS",D300&lt;&gt;"STORED",U300="",AP300="",AQ300="",AQ300="UNVERIFIED",AND(AP300="OFFICIAL_WEBSITE",Q300=""),AND(OR(AA300="Equipment manual / OEM instruction",AB300="Asset-specific normative"),OR(Z300&lt;&gt;"Manufacturer / supplier",AS300="",AC300=""))),"PENDING",IF(COUNTIF(AD300:AH300,"HIGH")=5,"INCLUDE","PENDING"))))</f>
        <v/>
      </c>
      <c r="F300" s="2" t="n"/>
      <c r="G300" s="81" t="n"/>
      <c r="H300" s="81" t="n"/>
      <c r="I300" s="2" t="n"/>
      <c r="J300" s="2" t="n"/>
      <c r="K300" s="75" t="str">
        <f>IF(A300="","",IF(J300="AUTO",H300,IF(J300="MANUAL",AK300,"")))</f>
        <v/>
      </c>
      <c r="L300" s="2" t="n"/>
      <c r="M300" s="2" t="n"/>
      <c r="N300" s="53" t="str">
        <f>IF(A300="","",IF(COUNTIFS('Human Operation Desktop'!$A$3:$A$502,A300,'Human Operation Desktop'!$I$3:$I$502,"&lt;&gt;APPLIED",'Human Operation Desktop'!$I$3:$I$502,"&lt;&gt;REJECTED")&gt;0,"YES","NO"))</f>
        <v/>
      </c>
      <c r="O300" s="2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76" t="n"/>
      <c r="AL300" s="3" t="n"/>
      <c r="AM300" s="3" t="n"/>
      <c r="AN300" s="3" t="n"/>
      <c r="AO300" s="3" t="n"/>
      <c r="AP300" s="3" t="n"/>
      <c r="AQ300" s="3" t="n"/>
      <c r="AR300" s="3" t="n"/>
      <c r="AS300" s="3" t="n"/>
    </row>
    <row r="301" ht="20" customHeight="1">
      <c r="A301" s="2" t="n"/>
      <c r="B301" s="2" t="n"/>
      <c r="C301" s="2" t="n"/>
      <c r="D301" s="2" t="n"/>
      <c r="E301" s="56" t="str">
        <f>IF(A301="","",IF(OR(AJ301="EXCLUDE",COUNTIF(AD301:AH301,"LOW")&gt;0),"EXCLUDE",IF(OR(AJ301&lt;&gt;"INCLUDE",F301&lt;&gt;"SUCCESS",D301&lt;&gt;"STORED",U301="",AP301="",AQ301="",AQ301="UNVERIFIED",AND(AP301="OFFICIAL_WEBSITE",Q301=""),AND(OR(AA301="Equipment manual / OEM instruction",AB301="Asset-specific normative"),OR(Z301&lt;&gt;"Manufacturer / supplier",AS301="",AC301=""))),"PENDING",IF(COUNTIF(AD301:AH301,"HIGH")=5,"INCLUDE","PENDING"))))</f>
        <v/>
      </c>
      <c r="F301" s="2" t="n"/>
      <c r="G301" s="81" t="n"/>
      <c r="H301" s="81" t="n"/>
      <c r="I301" s="2" t="n"/>
      <c r="J301" s="2" t="n"/>
      <c r="K301" s="73" t="str">
        <f>IF(A301="","",IF(J301="AUTO",H301,IF(J301="MANUAL",AK301,"")))</f>
        <v/>
      </c>
      <c r="L301" s="2" t="n"/>
      <c r="M301" s="2" t="n"/>
      <c r="N301" s="56" t="str">
        <f>IF(A301="","",IF(COUNTIFS('Human Operation Desktop'!$A$3:$A$502,A301,'Human Operation Desktop'!$I$3:$I$502,"&lt;&gt;APPLIED",'Human Operation Desktop'!$I$3:$I$502,"&lt;&gt;REJECTED")&gt;0,"YES","NO"))</f>
        <v/>
      </c>
      <c r="O301" s="2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76" t="n"/>
      <c r="AL301" s="3" t="n"/>
      <c r="AM301" s="3" t="n"/>
      <c r="AN301" s="3" t="n"/>
      <c r="AO301" s="3" t="n"/>
      <c r="AP301" s="3" t="n"/>
      <c r="AQ301" s="3" t="n"/>
      <c r="AR301" s="3" t="n"/>
      <c r="AS301" s="3" t="n"/>
    </row>
    <row r="302" ht="20" customHeight="1">
      <c r="A302" s="4" t="n"/>
      <c r="B302" s="4" t="n"/>
      <c r="C302" s="4" t="n"/>
      <c r="D302" s="4" t="n"/>
      <c r="E302" s="53" t="str">
        <f>IF(A302="","",IF(OR(AJ302="EXCLUDE",COUNTIF(AD302:AH302,"LOW")&gt;0),"EXCLUDE",IF(OR(AJ302&lt;&gt;"INCLUDE",F302&lt;&gt;"SUCCESS",D302&lt;&gt;"STORED",U302="",AP302="",AQ302="",AQ302="UNVERIFIED",AND(AP302="OFFICIAL_WEBSITE",Q302=""),AND(OR(AA302="Equipment manual / OEM instruction",AB302="Asset-specific normative"),OR(Z302&lt;&gt;"Manufacturer / supplier",AS302="",AC302=""))),"PENDING",IF(COUNTIF(AD302:AH302,"HIGH")=5,"INCLUDE","PENDING"))))</f>
        <v/>
      </c>
      <c r="F302" s="4" t="n"/>
      <c r="G302" s="82" t="n"/>
      <c r="H302" s="82" t="n"/>
      <c r="I302" s="4" t="n"/>
      <c r="J302" s="4" t="n"/>
      <c r="K302" s="75" t="str">
        <f>IF(A302="","",IF(J302="AUTO",H302,IF(J302="MANUAL",AK302,"")))</f>
        <v/>
      </c>
      <c r="L302" s="4" t="n"/>
      <c r="M302" s="4" t="n"/>
      <c r="N302" s="53" t="str">
        <f>IF(A302="","",IF(COUNTIFS('Human Operation Desktop'!$A$3:$A$502,A302,'Human Operation Desktop'!$I$3:$I$502,"&lt;&gt;APPLIED",'Human Operation Desktop'!$I$3:$I$502,"&lt;&gt;REJECTED")&gt;0,"YES","NO"))</f>
        <v/>
      </c>
      <c r="O302" s="4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83" t="n"/>
      <c r="AL302" s="5" t="n"/>
      <c r="AM302" s="5" t="n"/>
      <c r="AN302" s="5" t="n"/>
      <c r="AO302" s="5" t="n"/>
      <c r="AP302" s="5" t="n"/>
      <c r="AQ302" s="5" t="n"/>
      <c r="AR302" s="5" t="n"/>
      <c r="AS302" s="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2">
    <mergeCell ref="A1:O1"/>
    <mergeCell ref="P1:AS1"/>
  </mergeCells>
  <conditionalFormatting sqref="A3:A302">
    <cfRule type="duplicateValues" priority="1" dxfId="1"/>
  </conditionalFormatting>
  <conditionalFormatting sqref="B3:B302">
    <cfRule type="duplicateValues" priority="2" dxfId="1"/>
  </conditionalFormatting>
  <conditionalFormatting sqref="E3:E302">
    <cfRule type="containsText" priority="17" operator="containsText" dxfId="9" text="INCLUDE"/>
    <cfRule type="containsText" priority="18" operator="containsText" dxfId="38" text="PENDING"/>
    <cfRule type="containsText" priority="19" operator="containsText" dxfId="8" text="EXCLUDE"/>
  </conditionalFormatting>
  <conditionalFormatting sqref="F3:F302">
    <cfRule type="containsText" priority="26" operator="containsText" dxfId="57" text="NOT_RUN"/>
    <cfRule type="containsText" priority="25" operator="containsText" dxfId="56" text="PAYWALL_BLOCKED"/>
    <cfRule type="containsText" priority="24" operator="containsText" dxfId="8" text="FAIL"/>
    <cfRule type="containsText" priority="23" operator="containsText" dxfId="9" text="SUCCESS"/>
  </conditionalFormatting>
  <conditionalFormatting sqref="N3:N302">
    <cfRule type="containsText" priority="30" operator="containsText" dxfId="8" text="YES"/>
  </conditionalFormatting>
  <conditionalFormatting sqref="S3:X302">
    <cfRule type="containsText" priority="3" operator="containsText" dxfId="1" text="LOW"/>
    <cfRule type="containsText" priority="5" operator="containsText" dxfId="4" text="HIGH"/>
    <cfRule type="containsText" priority="4" operator="containsText" dxfId="2" text="MEDIUM"/>
  </conditionalFormatting>
  <conditionalFormatting sqref="Y3:Y302">
    <cfRule type="containsText" priority="8" operator="containsText" dxfId="1" text="EXCLUDE"/>
    <cfRule type="containsText" priority="7" operator="containsText" dxfId="2" text="PENDING"/>
    <cfRule type="containsText" priority="6" operator="containsText" dxfId="4" text="INCLUDE"/>
  </conditionalFormatting>
  <conditionalFormatting sqref="Z3:Z302">
    <cfRule type="containsText" priority="11" operator="containsText" dxfId="1" text="FAIL"/>
    <cfRule type="containsText" priority="10" operator="containsText" dxfId="0" text="RUNNING"/>
    <cfRule type="containsText" priority="9" operator="containsText" dxfId="4" text="SUCCESS"/>
  </conditionalFormatting>
  <conditionalFormatting sqref="AC3:AC302">
    <cfRule type="containsText" priority="12" operator="containsText" dxfId="2" text="CHANGED"/>
  </conditionalFormatting>
  <conditionalFormatting sqref="AD3:AI302">
    <cfRule type="containsText" priority="27" operator="containsText" dxfId="42" text="HIGH"/>
    <cfRule type="containsText" priority="28" operator="containsText" dxfId="7" text="MEDIUM"/>
    <cfRule type="containsText" priority="29" operator="containsText" dxfId="40" text="LOW"/>
  </conditionalFormatting>
  <conditionalFormatting sqref="AJ3:AJ302">
    <cfRule type="containsText" priority="20" operator="containsText" dxfId="9" text="INCLUDE"/>
    <cfRule type="containsText" priority="21" operator="containsText" dxfId="38" text="PENDING"/>
    <cfRule type="containsText" priority="22" operator="containsText" dxfId="8" text="EXCLUDE"/>
  </conditionalFormatting>
  <conditionalFormatting sqref="AP3:AP302">
    <cfRule type="containsText" priority="15" operator="containsText" dxfId="1" text="UNVERIFIED"/>
  </conditionalFormatting>
  <conditionalFormatting sqref="AQ3:AQ302">
    <cfRule type="containsText" priority="16" operator="containsText" dxfId="2" text="UNKNOWN"/>
  </conditionalFormatting>
  <dataValidations count="12">
    <dataValidation sqref="Z3:Z302" showDropDown="0" showInputMessage="0" showErrorMessage="0" allowBlank="0" type="list">
      <formula1>"Public authority,Standards body,Certification scheme,Manufacturer / supplier,Project / engineering,Client / internal,Pending classification"</formula1>
    </dataValidation>
    <dataValidation sqref="AP3:AP302" showDropDown="0" showInputMessage="0" showErrorMessage="0" allowBlank="0" type="list">
      <formula1>"OFFICIAL_WEBSITE,CLIENT_OR_SITE,SUPPLIER_OR_INTEGRATOR,INTERNAL_REPOSITORY,OTHER"</formula1>
    </dataValidation>
    <dataValidation sqref="AQ3:AQ302" showDropDown="0" showInputMessage="0" showErrorMessage="0" allowBlank="0" type="list">
      <formula1>"OFFICIAL_ORIGINAL,AUTHORISED_COPY,CLIENT_PROVIDED_COPY,UNVERIFIED"</formula1>
    </dataValidation>
    <dataValidation sqref="T3:T302" showDropDown="0" showInputMessage="0" showErrorMessage="0" allowBlank="0" type="list">
      <formula1>"html,pdf,xlsx,zip"</formula1>
    </dataValidation>
    <dataValidation sqref="V3:V302" showDropDown="0" showInputMessage="0" showErrorMessage="0" allowBlank="0" type="list">
      <formula1>"Norway,EU / EEA,International,Multi-jurisdiction,Site-specific,Other"</formula1>
    </dataValidation>
    <dataValidation sqref="W3:W302" showDropDown="0" showInputMessage="0" showErrorMessage="0" allowBlank="0" type="list">
      <formula1>"English,Norwegian,Other"</formula1>
    </dataValidation>
    <dataValidation sqref="AA3:AA302" showDropDown="0" showInputMessage="0" showErrorMessage="0" allowBlank="0" type="list">
      <formula1>"Law,Regulation,Permit / authority decision,Technical standard,Scheme standard,Interpretation document,Audit / assessment document,Equipment manual / OEM instruction,Design / engineering document,Internal policy / contract,Other"</formula1>
    </dataValidation>
    <dataValidation sqref="AB3:AB302" showDropDown="0" showInputMessage="0" showErrorMessage="0" allowBlank="0" type="list">
      <formula1>"Primary normative,Referenced normative,Asset-specific normative,Guidance / interpretation,Audit / assessment tool,Context / evidence,Draft working material"</formula1>
    </dataValidation>
    <dataValidation sqref="AD3:AI302" showDropDown="0" showInputMessage="0" showErrorMessage="0" allowBlank="0" type="list">
      <formula1>"LOW,MEDIUM,HIGH"</formula1>
    </dataValidation>
    <dataValidation sqref="AJ3:AJ302" showDropDown="0" showInputMessage="0" showErrorMessage="0" allowBlank="0" type="list">
      <formula1>"INCLUDE,PENDING,EXCLUDE"</formula1>
    </dataValidation>
    <dataValidation sqref="AM3:AM302" showDropDown="0" showInputMessage="0" showErrorMessage="0" allowBlank="0" type="list">
      <formula1>"CURRENT,SUPERSEDED,WITHDRAWN"</formula1>
    </dataValidation>
    <dataValidation sqref="AR3:AR302" showDropDown="0" showInputMessage="0" showErrorMessage="0" allowBlank="0" type="list">
      <formula1>"VERSIONED,ROLLING,UNKNOWN"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F6B78"/>
    <outlinePr summaryBelow="1" summaryRight="1"/>
    <pageSetUpPr/>
  </sheetPr>
  <dimension ref="A1:U130"/>
  <sheetViews>
    <sheetView showGridLines="0" tabSelected="0" zoomScale="85" zoomScaleNormal="85" workbookViewId="0">
      <pane ySplit="10" topLeftCell="A11" activePane="bottomLeft" state="frozen"/>
      <selection pane="bottomLeft" activeCell="U1" sqref="U1:U1048576"/>
    </sheetView>
  </sheetViews>
  <sheetFormatPr baseColWidth="10" defaultColWidth="8.83203125" defaultRowHeight="14"/>
  <cols>
    <col width="26" customWidth="1" min="1" max="1"/>
    <col width="24" customWidth="1" min="2" max="2"/>
    <col width="30" customWidth="1" min="3" max="3"/>
    <col width="24" customWidth="1" min="4" max="5"/>
    <col width="23" customWidth="1" min="6" max="6"/>
    <col width="22" customWidth="1" min="7" max="7"/>
    <col width="20" customWidth="1" min="8" max="8"/>
    <col width="13" customWidth="1" min="9" max="17"/>
    <col hidden="1" width="13" customWidth="1" min="18" max="20"/>
    <col hidden="1" width="13" customWidth="1" min="19" max="19"/>
    <col hidden="1" width="13" customWidth="1" min="20" max="20"/>
    <col hidden="1" width="27.5" customWidth="1" min="21" max="21"/>
    <col hidden="1" width="13" customWidth="1" min="22" max="22"/>
  </cols>
  <sheetData>
    <row r="1" ht="30" customHeight="1">
      <c r="A1" s="62" t="inlineStr">
        <is>
          <t>SYSTEM1 SOURCE MANAGEMENT</t>
        </is>
      </c>
      <c r="B1" s="54" t="n"/>
      <c r="C1" s="54" t="n"/>
      <c r="D1" s="54" t="n"/>
      <c r="E1" s="54" t="n"/>
      <c r="F1" s="54" t="n"/>
      <c r="G1" s="54" t="n"/>
      <c r="H1" s="55" t="n"/>
      <c r="I1" s="57" t="inlineStr">
        <is>
          <t>LAST DATA UPDATE</t>
        </is>
      </c>
      <c r="J1" s="54" t="n"/>
      <c r="K1" s="54" t="n"/>
      <c r="L1" s="55" t="n"/>
      <c r="M1" s="57" t="inlineStr">
        <is>
          <t>AUTOMATION</t>
        </is>
      </c>
      <c r="N1" s="54" t="n"/>
      <c r="O1" s="54" t="n"/>
      <c r="P1" s="55" t="n"/>
      <c r="R1" s="40" t="inlineStr">
        <is>
          <t>Primary category</t>
        </is>
      </c>
      <c r="S1" s="40" t="inlineStr">
        <is>
          <t>Total</t>
        </is>
      </c>
      <c r="T1" s="40" t="inlineStr">
        <is>
          <t>Included</t>
        </is>
      </c>
      <c r="U1" s="40" t="inlineStr">
        <is>
          <t>Folder code</t>
        </is>
      </c>
    </row>
    <row r="2" ht="22" customHeight="1">
      <c r="A2" s="69" t="inlineStr">
        <is>
          <t>Read-only management overview. Complete all decisions in Human Operation Desktop.</t>
        </is>
      </c>
      <c r="B2" s="54" t="n"/>
      <c r="C2" s="54" t="n"/>
      <c r="D2" s="54" t="n"/>
      <c r="E2" s="54" t="n"/>
      <c r="F2" s="54" t="n"/>
      <c r="G2" s="54" t="n"/>
      <c r="H2" s="55" t="n"/>
      <c r="I2" s="77" t="n">
        <f>MAX(MAX(SourceRegisterTable[last_attempt_at]),MAX(HumanOperationsTable[program_operated_at]))</f>
        <v>0</v>
      </c>
      <c r="J2" s="54" t="n"/>
      <c r="K2" s="54" t="n"/>
      <c r="L2" s="55" t="n"/>
      <c r="M2" s="70" t="inlineStr">
        <is>
          <t>USER CONFIGURED</t>
        </is>
      </c>
      <c r="N2" s="54" t="n"/>
      <c r="O2" s="54" t="n"/>
      <c r="P2" s="55" t="n"/>
      <c r="R2" s="42" t="inlineStr">
        <is>
          <t>Public authority</t>
        </is>
      </c>
      <c r="S2" s="42" t="n">
        <f>COUNTIF(SourceRegisterTable[folder_code],U2)</f>
        <v>0</v>
      </c>
      <c r="T2" s="42" t="n">
        <f>COUNTIFS(SourceRegisterTable[folder_code],U2,SourceRegisterTable[selection_status],"INCLUDE")</f>
        <v>0</v>
      </c>
      <c r="U2" s="42" t="inlineStr">
        <is>
          <t>A_Public_Authority</t>
        </is>
      </c>
    </row>
    <row r="3" ht="20" customHeight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R3" s="43" t="inlineStr">
        <is>
          <t>Standards body</t>
        </is>
      </c>
      <c r="S3" s="43" t="n">
        <f>COUNTIF(SourceRegisterTable[folder_code],U3)</f>
        <v>0</v>
      </c>
      <c r="T3" s="43" t="n">
        <f>COUNTIFS(SourceRegisterTable[folder_code],U3,SourceRegisterTable[selection_status],"INCLUDE")</f>
        <v>0</v>
      </c>
      <c r="U3" s="43" t="inlineStr">
        <is>
          <t>B_Standards_Body</t>
        </is>
      </c>
    </row>
    <row r="4" ht="20" customHeight="1">
      <c r="A4" s="64" t="inlineStr">
        <is>
          <t>TOTAL SOURCES</t>
        </is>
      </c>
      <c r="B4" s="55" t="n"/>
      <c r="C4" s="64" t="inlineStr">
        <is>
          <t>INCLUDED SOURCES</t>
        </is>
      </c>
      <c r="D4" s="55" t="n"/>
      <c r="E4" s="64" t="inlineStr">
        <is>
          <t>STORED SNAPSHOTS</t>
        </is>
      </c>
      <c r="F4" s="54" t="n"/>
      <c r="G4" s="55" t="n"/>
      <c r="H4" s="53" t="inlineStr">
        <is>
          <t>OPEN HUMAN TASKS</t>
        </is>
      </c>
      <c r="I4" s="54" t="n"/>
      <c r="J4" s="54" t="n"/>
      <c r="K4" s="55" t="n"/>
      <c r="L4" s="53" t="inlineStr">
        <is>
          <t>RETRIEVAL EXCEPTIONS</t>
        </is>
      </c>
      <c r="M4" s="54" t="n"/>
      <c r="N4" s="54" t="n"/>
      <c r="O4" s="54" t="n"/>
      <c r="P4" s="55" t="n"/>
      <c r="Q4" s="22" t="n"/>
      <c r="R4" s="44" t="inlineStr">
        <is>
          <t>Certification scheme</t>
        </is>
      </c>
      <c r="S4" s="44" t="n">
        <f>COUNTIF(SourceRegisterTable[folder_code],U4)</f>
        <v>2</v>
      </c>
      <c r="T4" s="44" t="n">
        <f>COUNTIFS(SourceRegisterTable[folder_code],U4,SourceRegisterTable[selection_status],"INCLUDE")</f>
        <v>1</v>
      </c>
      <c r="U4" s="44" t="inlineStr">
        <is>
          <t>C_Certification_Scheme</t>
        </is>
      </c>
    </row>
    <row r="5" ht="20" customHeight="1">
      <c r="A5" s="58" t="n">
        <f>COUNTA(SourceRegisterTable[source_id])</f>
        <v>2</v>
      </c>
      <c r="B5" s="59" t="n"/>
      <c r="C5" s="58" t="n">
        <f>COUNTIF(SourceRegisterTable[selection_status],"INCLUDE")</f>
        <v>1</v>
      </c>
      <c r="D5" s="59" t="n"/>
      <c r="E5" s="58" t="n">
        <f>COUNTIF(SourceRegisterTable[snapshot_status],"STORED")</f>
        <v>1</v>
      </c>
      <c r="F5" s="65" t="n"/>
      <c r="G5" s="59" t="n"/>
      <c r="H5" s="56" t="n">
        <f>COUNTIF(HumanOperationsTable[program_status],"PENDING")+COUNTIF(HumanOperationsTable[program_status],"WAITING_FOR_HUMAN")+COUNTIF(HumanOperationsTable[program_status],"NEEDS_REPLAN")</f>
        <v>0</v>
      </c>
      <c r="I5" s="65" t="n"/>
      <c r="J5" s="65" t="n"/>
      <c r="K5" s="59" t="n"/>
      <c r="L5" s="56" t="n">
        <f>COUNTIF(SourceRegisterTable[download_status],"FAIL")+COUNTIF(SourceRegisterTable[download_status],"PAYWALL_BLOCKED")</f>
        <v>0</v>
      </c>
      <c r="M5" s="65" t="n"/>
      <c r="N5" s="65" t="n"/>
      <c r="O5" s="65" t="n"/>
      <c r="P5" s="59" t="n"/>
      <c r="Q5" s="22" t="n"/>
      <c r="R5" s="43" t="inlineStr">
        <is>
          <t>Manufacturer / supplier</t>
        </is>
      </c>
      <c r="S5" s="43" t="n">
        <f>COUNTIF(SourceRegisterTable[folder_code],U5)</f>
        <v>0</v>
      </c>
      <c r="T5" s="43" t="n">
        <f>COUNTIFS(SourceRegisterTable[folder_code],U5,SourceRegisterTable[selection_status],"INCLUDE")</f>
        <v>0</v>
      </c>
      <c r="U5" s="43" t="inlineStr">
        <is>
          <t>D_Manufacturer_Supplier</t>
        </is>
      </c>
    </row>
    <row r="6" ht="20" customHeight="1">
      <c r="A6" s="60" t="n"/>
      <c r="B6" s="61" t="n"/>
      <c r="C6" s="60" t="n"/>
      <c r="D6" s="61" t="n"/>
      <c r="E6" s="60" t="n"/>
      <c r="F6" s="66" t="n"/>
      <c r="G6" s="61" t="n"/>
      <c r="H6" s="60" t="n"/>
      <c r="I6" s="66" t="n"/>
      <c r="J6" s="66" t="n"/>
      <c r="K6" s="61" t="n"/>
      <c r="L6" s="60" t="n"/>
      <c r="M6" s="66" t="n"/>
      <c r="N6" s="66" t="n"/>
      <c r="O6" s="66" t="n"/>
      <c r="P6" s="61" t="n"/>
      <c r="R6" s="44" t="inlineStr">
        <is>
          <t>Project / engineering</t>
        </is>
      </c>
      <c r="S6" s="44" t="n">
        <f>COUNTIF(SourceRegisterTable[folder_code],U6)</f>
        <v>0</v>
      </c>
      <c r="T6" s="44" t="n">
        <f>COUNTIFS(SourceRegisterTable[folder_code],U6,SourceRegisterTable[selection_status],"INCLUDE")</f>
        <v>0</v>
      </c>
      <c r="U6" s="44" t="inlineStr">
        <is>
          <t>E_Project_Engineering</t>
        </is>
      </c>
    </row>
    <row r="7" ht="20" customHeight="1">
      <c r="A7" s="58" t="inlineStr">
        <is>
          <t>Registered sources</t>
        </is>
      </c>
      <c r="B7" s="55" t="n"/>
      <c r="C7" s="58" t="str">
        <f>TEXT(C5/A5,"0%")&amp;" of total"</f>
        <v>50% of total</v>
      </c>
      <c r="D7" s="55" t="n"/>
      <c r="E7" s="58" t="str">
        <f>TEXT(E5/A5,"0%")&amp;" collection rate"</f>
        <v>50% collection rate</v>
      </c>
      <c r="F7" s="54" t="n"/>
      <c r="G7" s="55" t="n"/>
      <c r="H7" s="56" t="str">
        <f>"Oldest: "&amp;S17&amp;" days"</f>
        <v>Oldest: 0 days</v>
      </c>
      <c r="I7" s="54" t="n"/>
      <c r="J7" s="54" t="n"/>
      <c r="K7" s="55" t="n"/>
      <c r="L7" s="56" t="inlineStr">
        <is>
          <t>FAIL + PAYWALL_BLOCKED</t>
        </is>
      </c>
      <c r="M7" s="54" t="n"/>
      <c r="N7" s="54" t="n"/>
      <c r="O7" s="54" t="n"/>
      <c r="P7" s="55" t="n"/>
      <c r="R7" s="43" t="inlineStr">
        <is>
          <t>Client internal</t>
        </is>
      </c>
      <c r="S7" s="43" t="n">
        <f>COUNTIF(SourceRegisterTable[folder_code],U7)</f>
        <v>0</v>
      </c>
      <c r="T7" s="43" t="n">
        <f>COUNTIFS(SourceRegisterTable[folder_code],U7,SourceRegisterTable[selection_status],"INCLUDE")</f>
        <v>0</v>
      </c>
      <c r="U7" s="43" t="inlineStr">
        <is>
          <t>F_Client_Internal</t>
        </is>
      </c>
    </row>
    <row r="8" ht="20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R8" s="44" t="inlineStr">
        <is>
          <t>Pending classification</t>
        </is>
      </c>
      <c r="S8" s="44" t="n">
        <f>COUNTIF(SourceRegisterTable[folder_code],U8)</f>
        <v>0</v>
      </c>
      <c r="T8" s="44" t="n">
        <f>COUNTIFS(SourceRegisterTable[folder_code],U8,SourceRegisterTable[selection_status],"INCLUDE")</f>
        <v>0</v>
      </c>
      <c r="U8" s="44" t="inlineStr">
        <is>
          <t>Z_Pending_Classification</t>
        </is>
      </c>
    </row>
    <row r="9" ht="20" customHeight="1">
      <c r="A9" s="56" t="str">
        <f>IF(H5=0,"All human operations are clear.",IF(S17&gt;60,"Human review is overdue. Open Human Operation Desktop and address the oldest items.","Human review is pending. Open Human Operation Desktop to review the current queue."))</f>
        <v>All human operations are clear.</v>
      </c>
      <c r="B9" s="65" t="n"/>
      <c r="C9" s="65" t="n"/>
      <c r="D9" s="65" t="n"/>
      <c r="E9" s="65" t="n"/>
      <c r="F9" s="65" t="n"/>
      <c r="G9" s="65" t="n"/>
      <c r="H9" s="65" t="n"/>
      <c r="I9" s="65" t="n"/>
      <c r="J9" s="65" t="n"/>
      <c r="K9" s="65" t="n"/>
      <c r="L9" s="65" t="n"/>
      <c r="M9" s="65" t="n"/>
      <c r="N9" s="65" t="n"/>
      <c r="O9" s="65" t="n"/>
      <c r="P9" s="59" t="n"/>
    </row>
    <row r="10" ht="20" customHeight="1">
      <c r="A10" s="60" t="n"/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1" t="n"/>
      <c r="R10" s="44" t="inlineStr">
        <is>
          <t>Selection status</t>
        </is>
      </c>
      <c r="S10" s="44" t="inlineStr">
        <is>
          <t>Count</t>
        </is>
      </c>
      <c r="T10" s="44" t="inlineStr">
        <is>
          <t>Share</t>
        </is>
      </c>
    </row>
    <row r="11" ht="20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R11" s="43" t="inlineStr">
        <is>
          <t>INCLUDE</t>
        </is>
      </c>
      <c r="S11" s="43" t="n">
        <f>COUNTIF(SourceRegisterTable[selection_status],R11)</f>
        <v>1</v>
      </c>
      <c r="T11" s="63" t="n">
        <f>IFERROR(S11/SUM($S$11:$S$13),0)</f>
        <v>0.5</v>
      </c>
    </row>
    <row r="12" ht="20" customHeight="1">
      <c r="A12" s="64" t="inlineStr">
        <is>
          <t>SOURCE PORTFOLIO</t>
        </is>
      </c>
      <c r="B12" s="54" t="n"/>
      <c r="C12" s="54" t="n"/>
      <c r="D12" s="54" t="n"/>
      <c r="E12" s="54" t="n"/>
      <c r="F12" s="54" t="n"/>
      <c r="G12" s="54" t="n"/>
      <c r="H12" s="54" t="n"/>
      <c r="I12" s="54" t="n"/>
      <c r="J12" s="55" t="n"/>
      <c r="K12" s="64" t="inlineStr">
        <is>
          <t>SELECTION STATUS</t>
        </is>
      </c>
      <c r="L12" s="54" t="n"/>
      <c r="M12" s="54" t="n"/>
      <c r="N12" s="54" t="n"/>
      <c r="O12" s="54" t="n"/>
      <c r="P12" s="55" t="n"/>
      <c r="R12" s="46" t="inlineStr">
        <is>
          <t>PENDING</t>
        </is>
      </c>
      <c r="S12" s="46" t="n">
        <f>COUNTIF(SourceRegisterTable[selection_status],R12)</f>
        <v>1</v>
      </c>
      <c r="T12" s="47" t="n">
        <f>IFERROR(S12/SUM($S$11:$S$13),0)</f>
        <v>0.5</v>
      </c>
    </row>
    <row r="13" ht="20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R13" s="43" t="inlineStr">
        <is>
          <t>EXCLUDE</t>
        </is>
      </c>
      <c r="S13" s="43" t="n">
        <f>COUNTIF(SourceRegisterTable[selection_status],R13)</f>
        <v>0</v>
      </c>
      <c r="T13" s="63" t="n">
        <f>IFERROR(S13/SUM($S$11:$S$13),0)</f>
        <v>0</v>
      </c>
    </row>
    <row r="14" ht="20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 ht="20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R15" s="43" t="inlineStr">
        <is>
          <t>Program status</t>
        </is>
      </c>
      <c r="S15" s="43" t="inlineStr">
        <is>
          <t>Oldest days</t>
        </is>
      </c>
    </row>
    <row r="16" ht="20" customHeight="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R16" s="44" t="inlineStr">
        <is>
          <t>OPEN TASKS</t>
        </is>
      </c>
      <c r="S16" s="44" t="n">
        <f>H5</f>
        <v>0</v>
      </c>
    </row>
    <row r="17" ht="20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R17" s="43" t="inlineStr">
        <is>
          <t>OLDEST OPEN</t>
        </is>
      </c>
      <c r="S17" s="43" t="n">
        <f>MAX(T30:T130)</f>
        <v>0</v>
      </c>
    </row>
    <row r="18" ht="20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</row>
    <row r="19" ht="20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R19" s="43" t="inlineStr">
        <is>
          <t>Retrieval status</t>
        </is>
      </c>
      <c r="S19" s="43" t="inlineStr">
        <is>
          <t>Count</t>
        </is>
      </c>
      <c r="T19" s="43" t="inlineStr">
        <is>
          <t>Share</t>
        </is>
      </c>
    </row>
    <row r="20" ht="20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R20" s="44" t="inlineStr">
        <is>
          <t>SUCCESS</t>
        </is>
      </c>
      <c r="S20" s="44" t="n">
        <f>COUNTIF(SourceRegisterTable[download_status],R20)</f>
        <v>1</v>
      </c>
      <c r="T20" s="67" t="n">
        <f>IFERROR(S20/A5,0)</f>
        <v>0.5</v>
      </c>
    </row>
    <row r="21" ht="20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R21" s="43" t="inlineStr">
        <is>
          <t>NOT_RUN</t>
        </is>
      </c>
      <c r="S21" s="43" t="n">
        <f>COUNTIF(SourceRegisterTable[download_status],R21)</f>
        <v>1</v>
      </c>
      <c r="T21" s="63" t="n">
        <f>IFERROR(S21/A5,0)</f>
        <v>0.5</v>
      </c>
    </row>
    <row r="22" ht="20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53" t="inlineStr">
        <is>
          <t>INCLUDE</t>
        </is>
      </c>
      <c r="L22" s="55" t="n"/>
      <c r="M22" s="53" t="inlineStr">
        <is>
          <t>PENDING</t>
        </is>
      </c>
      <c r="N22" s="55" t="n"/>
      <c r="O22" s="53" t="inlineStr">
        <is>
          <t>EXCLUDE</t>
        </is>
      </c>
      <c r="P22" s="55" t="n"/>
      <c r="R22" s="44" t="inlineStr">
        <is>
          <t>PAYWALL_BLOCKED</t>
        </is>
      </c>
      <c r="S22" s="44" t="n">
        <f>COUNTIF(SourceRegisterTable[download_status],R22)</f>
        <v>0</v>
      </c>
      <c r="T22" s="67" t="n">
        <f>IFERROR(S22/A5,0)</f>
        <v>0</v>
      </c>
    </row>
    <row r="23" ht="20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56" t="str">
        <f>S11&amp;" | "&amp;TEXT(T11,"0%")</f>
        <v>1 | 50%</v>
      </c>
      <c r="L23" s="59" t="n"/>
      <c r="M23" s="56" t="str">
        <f>S12&amp;" | "&amp;TEXT(T12,"0%")</f>
        <v>1 | 50%</v>
      </c>
      <c r="N23" s="59" t="n"/>
      <c r="O23" s="56" t="str">
        <f>S13&amp;" | "&amp;TEXT(T13,"0%")</f>
        <v>0 | 0%</v>
      </c>
      <c r="P23" s="59" t="n"/>
      <c r="R23" s="43" t="inlineStr">
        <is>
          <t>FAIL</t>
        </is>
      </c>
      <c r="S23" s="43" t="n">
        <f>COUNTIF(SourceRegisterTable[download_status],R23)</f>
        <v>0</v>
      </c>
      <c r="T23" s="63" t="n">
        <f>IFERROR(S23/A5,0)</f>
        <v>0</v>
      </c>
    </row>
    <row r="24" ht="20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60" t="n"/>
      <c r="L24" s="61" t="n"/>
      <c r="M24" s="60" t="n"/>
      <c r="N24" s="61" t="n"/>
      <c r="O24" s="60" t="n"/>
      <c r="P24" s="61" t="n"/>
    </row>
    <row r="25" ht="20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</row>
    <row r="26" ht="20" customHeight="1">
      <c r="A26" s="53" t="inlineStr">
        <is>
          <t>RETRIEVAL HEALTH</t>
        </is>
      </c>
      <c r="B26" s="54" t="n"/>
      <c r="C26" s="54" t="n"/>
      <c r="D26" s="54" t="n"/>
      <c r="E26" s="54" t="n"/>
      <c r="F26" s="54" t="n"/>
      <c r="G26" s="54" t="n"/>
      <c r="H26" s="55" t="n"/>
      <c r="I26" s="53" t="inlineStr">
        <is>
          <t>GOVERNANCE &amp; QA</t>
        </is>
      </c>
      <c r="J26" s="54" t="n"/>
      <c r="K26" s="54" t="n"/>
      <c r="L26" s="54" t="n"/>
      <c r="M26" s="54" t="n"/>
      <c r="N26" s="54" t="n"/>
      <c r="O26" s="54" t="n"/>
      <c r="P26" s="55" t="n"/>
    </row>
    <row r="27" ht="20" customHeight="1">
      <c r="A27" s="56" t="inlineStr">
        <is>
          <t>STATUS</t>
        </is>
      </c>
      <c r="B27" s="54" t="n"/>
      <c r="C27" s="55" t="n"/>
      <c r="D27" s="56" t="inlineStr">
        <is>
          <t>COUNT</t>
        </is>
      </c>
      <c r="E27" s="54" t="n"/>
      <c r="F27" s="55" t="n"/>
      <c r="G27" s="56" t="inlineStr">
        <is>
          <t>SHARE</t>
        </is>
      </c>
      <c r="H27" s="55" t="n"/>
      <c r="I27" s="56" t="inlineStr">
        <is>
          <t>LAST QA CHECK</t>
        </is>
      </c>
      <c r="J27" s="54" t="n"/>
      <c r="K27" s="54" t="n"/>
      <c r="L27" s="55" t="n"/>
      <c r="M27" s="73" t="n">
        <f>MAX(_xlfn.MAXIFS(HumanOperationsTable[checked_at],HumanOperationsTable[task_type],"RANDOM_QA_CHECK"),_xlfn.MAXIFS(HumanOperationsTable[checked_at],HumanOperationsTable[task_type],"RANDOM_QA_BATCH_SUMMARY"))</f>
        <v>0</v>
      </c>
      <c r="N27" s="54" t="n"/>
      <c r="O27" s="54" t="n"/>
      <c r="P27" s="55" t="n"/>
    </row>
    <row r="28" ht="20" customHeight="1">
      <c r="A28" s="53" t="str">
        <f>R20</f>
        <v>SUCCESS</v>
      </c>
      <c r="B28" s="54" t="n"/>
      <c r="C28" s="55" t="n"/>
      <c r="D28" s="53" t="n">
        <f>S20</f>
        <v>1</v>
      </c>
      <c r="E28" s="54" t="n"/>
      <c r="F28" s="55" t="n"/>
      <c r="G28" s="67" t="n">
        <f>T20</f>
        <v>0.5</v>
      </c>
      <c r="H28" s="55" t="n"/>
      <c r="I28" s="53" t="inlineStr">
        <is>
          <t>CORRECT / CHECKED</t>
        </is>
      </c>
      <c r="J28" s="54" t="n"/>
      <c r="K28" s="54" t="n"/>
      <c r="L28" s="55" t="n"/>
      <c r="M28" s="53" t="str">
        <f>(7+COUNTIFS(HumanOperationsTable[task_type],"RANDOM_QA_CHECK",HumanOperationsTable[operator_action],"CORRECT"))&amp;" / "&amp;(7+COUNTIFS(HumanOperationsTable[task_type],"RANDOM_QA_CHECK",HumanOperationsTable[operator_action],"&lt;&gt;PENDING"))</f>
        <v>7 / 7</v>
      </c>
      <c r="N28" s="54" t="n"/>
      <c r="O28" s="54" t="n"/>
      <c r="P28" s="55" t="n"/>
    </row>
    <row r="29" ht="20" customHeight="1">
      <c r="A29" s="56" t="str">
        <f>R21</f>
        <v>NOT_RUN</v>
      </c>
      <c r="B29" s="54" t="n"/>
      <c r="C29" s="55" t="n"/>
      <c r="D29" s="56" t="n">
        <f>S21</f>
        <v>1</v>
      </c>
      <c r="E29" s="54" t="n"/>
      <c r="F29" s="55" t="n"/>
      <c r="G29" s="63" t="n">
        <f>T21</f>
        <v>0.5</v>
      </c>
      <c r="H29" s="55" t="n"/>
      <c r="I29" s="56" t="inlineStr">
        <is>
          <t>ACCURACY</t>
        </is>
      </c>
      <c r="J29" s="54" t="n"/>
      <c r="K29" s="54" t="n"/>
      <c r="L29" s="55" t="n"/>
      <c r="M29" s="63" t="n">
        <f>IFERROR((7+COUNTIFS(HumanOperationsTable[task_type],"RANDOM_QA_CHECK",HumanOperationsTable[operator_action],"CORRECT"))/(7+COUNTIFS(HumanOperationsTable[task_type],"RANDOM_QA_CHECK",HumanOperationsTable[operator_action],"&lt;&gt;PENDING")),0)</f>
        <v>1</v>
      </c>
      <c r="N29" s="54" t="n"/>
      <c r="O29" s="54" t="n"/>
      <c r="P29" s="55" t="n"/>
    </row>
    <row r="30" ht="20" customHeight="1">
      <c r="A30" s="53" t="str">
        <f>R22</f>
        <v>PAYWALL_BLOCKED</v>
      </c>
      <c r="B30" s="54" t="n"/>
      <c r="C30" s="55" t="n"/>
      <c r="D30" s="53" t="n">
        <f>S22</f>
        <v>0</v>
      </c>
      <c r="E30" s="54" t="n"/>
      <c r="F30" s="55" t="n"/>
      <c r="G30" s="67" t="n">
        <f>T22</f>
        <v>0</v>
      </c>
      <c r="H30" s="55" t="n"/>
      <c r="I30" s="53" t="inlineStr">
        <is>
          <t>OPEN QA</t>
        </is>
      </c>
      <c r="J30" s="54" t="n"/>
      <c r="K30" s="54" t="n"/>
      <c r="L30" s="55" t="n"/>
      <c r="M30" s="53" t="n">
        <f>COUNTIFS(HumanOperationsTable[task_type],"RANDOM_QA_CHECK",HumanOperationsTable[program_status],"PENDING")+COUNTIFS(HumanOperationsTable[task_type],"RANDOM_QA_CHECK",HumanOperationsTable[program_status],"WAITING_FOR_HUMAN")+COUNTIFS(HumanOperationsTable[task_type],"RANDOM_QA_CHECK",HumanOperationsTable[program_status],"NEEDS_REPLAN")</f>
        <v>0</v>
      </c>
      <c r="N30" s="54" t="n"/>
      <c r="O30" s="54" t="n"/>
      <c r="P30" s="55" t="n"/>
      <c r="R30" s="44" t="n">
        <f>'Human Operation Desktop'!I3</f>
        <v>0</v>
      </c>
      <c r="S30" s="44" t="n">
        <f>'Human Operation Desktop'!AQ3</f>
        <v>0</v>
      </c>
      <c r="T30" s="44" t="n">
        <f>IF(AND(S30&gt;0,OR(R30="PENDING",R30="WAITING_FOR_HUMAN",R30="NEEDS_REPLAN")),MAX(0,INT(TODAY()-S30)),0)</f>
        <v>0</v>
      </c>
    </row>
    <row r="31" ht="20" customHeight="1">
      <c r="A31" s="56" t="str">
        <f>R23</f>
        <v>FAIL</v>
      </c>
      <c r="B31" s="54" t="n"/>
      <c r="C31" s="55" t="n"/>
      <c r="D31" s="56" t="n">
        <f>S23</f>
        <v>0</v>
      </c>
      <c r="E31" s="54" t="n"/>
      <c r="F31" s="55" t="n"/>
      <c r="G31" s="63" t="n">
        <f>T23</f>
        <v>0</v>
      </c>
      <c r="H31" s="55" t="n"/>
      <c r="I31" s="56" t="inlineStr">
        <is>
          <t>SOURCE REVIEW</t>
        </is>
      </c>
      <c r="J31" s="54" t="n"/>
      <c r="K31" s="54" t="n"/>
      <c r="L31" s="55" t="n"/>
      <c r="M31" s="56" t="n">
        <f>COUNTIFS(HumanOperationsTable[task_type],"SOURCE_REVIEW",HumanOperationsTable[program_status],"PENDING")+COUNTIFS(HumanOperationsTable[task_type],"SOURCE_REVIEW",HumanOperationsTable[program_status],"WAITING_FOR_HUMAN")+COUNTIFS(HumanOperationsTable[task_type],"SOURCE_REVIEW",HumanOperationsTable[program_status],"NEEDS_REPLAN")</f>
        <v>0</v>
      </c>
      <c r="N31" s="54" t="n"/>
      <c r="O31" s="54" t="n"/>
      <c r="P31" s="55" t="n"/>
      <c r="R31" s="43" t="n">
        <f>'Human Operation Desktop'!I4</f>
        <v>0</v>
      </c>
      <c r="S31" s="43" t="n">
        <f>'Human Operation Desktop'!AQ4</f>
        <v>0</v>
      </c>
      <c r="T31" s="43" t="n">
        <f>IF(AND(S31&gt;0,OR(R31="PENDING",R31="WAITING_FOR_HUMAN",R31="NEEDS_REPLAN")),MAX(0,INT(TODAY()-S31)),0)</f>
        <v>0</v>
      </c>
    </row>
    <row r="32" ht="20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53" t="inlineStr">
        <is>
          <t>SELECTION REVIEW</t>
        </is>
      </c>
      <c r="J32" s="54" t="n"/>
      <c r="K32" s="54" t="n"/>
      <c r="L32" s="55" t="n"/>
      <c r="M32" s="53" t="n">
        <f>COUNTIFS(HumanOperationsTable[task_type],"SELECTION_REVIEW",HumanOperationsTable[program_status],"PENDING")+COUNTIFS(HumanOperationsTable[task_type],"SELECTION_REVIEW",HumanOperationsTable[program_status],"WAITING_FOR_HUMAN")+COUNTIFS(HumanOperationsTable[task_type],"SELECTION_REVIEW",HumanOperationsTable[program_status],"NEEDS_REPLAN")</f>
        <v>0</v>
      </c>
      <c r="N32" s="54" t="n"/>
      <c r="O32" s="54" t="n"/>
      <c r="P32" s="55" t="n"/>
      <c r="R32" s="44" t="n">
        <f>'Human Operation Desktop'!I5</f>
        <v>0</v>
      </c>
      <c r="S32" s="44" t="n">
        <f>'Human Operation Desktop'!AQ5</f>
        <v>0</v>
      </c>
      <c r="T32" s="44" t="n">
        <f>IF(AND(S32&gt;0,OR(R32="PENDING",R32="WAITING_FOR_HUMAN",R32="NEEDS_REPLAN")),MAX(0,INT(TODAY()-S32)),0)</f>
        <v>0</v>
      </c>
    </row>
    <row r="33" ht="20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R33" s="43" t="n">
        <f>'Human Operation Desktop'!I6</f>
        <v>0</v>
      </c>
      <c r="S33" s="43" t="n">
        <f>'Human Operation Desktop'!AQ6</f>
        <v>0</v>
      </c>
      <c r="T33" s="43" t="n">
        <f>IF(AND(S33&gt;0,OR(R33="PENDING",R33="WAITING_FOR_HUMAN",R33="NEEDS_REPLAN")),MAX(0,INT(TODAY()-S33)),0)</f>
        <v>0</v>
      </c>
    </row>
    <row r="34" ht="20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R34" s="44" t="n">
        <f>'Human Operation Desktop'!I7</f>
        <v>0</v>
      </c>
      <c r="S34" s="44" t="n">
        <f>'Human Operation Desktop'!AQ7</f>
        <v>0</v>
      </c>
      <c r="T34" s="44" t="n">
        <f>IF(AND(S34&gt;0,OR(R34="PENDING",R34="WAITING_FOR_HUMAN",R34="NEEDS_REPLAN")),MAX(0,INT(TODAY()-S34)),0)</f>
        <v>0</v>
      </c>
    </row>
    <row r="35" ht="20" customHeight="1">
      <c r="A35" s="56" t="inlineStr">
        <is>
          <t>SOURCE ID</t>
        </is>
      </c>
      <c r="B35" s="56" t="inlineStr">
        <is>
          <t>SOURCE TITLE</t>
        </is>
      </c>
      <c r="C35" s="56" t="inlineStr">
        <is>
          <t>TASK TYPE</t>
        </is>
      </c>
      <c r="D35" s="56" t="inlineStr">
        <is>
          <t>ISSUE SUMMARY</t>
        </is>
      </c>
      <c r="E35" s="56" t="inlineStr">
        <is>
          <t>DAYS OPEN</t>
        </is>
      </c>
      <c r="F35" s="56" t="inlineStr">
        <is>
          <t>PROGRAM STATUS</t>
        </is>
      </c>
      <c r="G35" s="56" t="inlineStr">
        <is>
          <t>PRIORITY ITEMS  |  TOP 5</t>
        </is>
      </c>
      <c r="H35" s="54" t="n"/>
      <c r="I35" s="54" t="n"/>
      <c r="J35" s="54" t="n"/>
      <c r="K35" s="54" t="n"/>
      <c r="L35" s="54" t="n"/>
      <c r="M35" s="54" t="n"/>
      <c r="N35" s="54" t="n"/>
      <c r="O35" s="54" t="n"/>
      <c r="P35" s="55" t="n"/>
      <c r="R35" s="43" t="n">
        <f>'Human Operation Desktop'!I8</f>
        <v>0</v>
      </c>
      <c r="S35" s="43" t="n">
        <f>'Human Operation Desktop'!AQ8</f>
        <v>0</v>
      </c>
      <c r="T35" s="43" t="n">
        <f>IF(AND(S35&gt;0,OR(R35="PENDING",R35="WAITING_FOR_HUMAN",R35="NEEDS_REPLAN")),MAX(0,INT(TODAY()-S35)),0)</f>
        <v>0</v>
      </c>
    </row>
    <row r="36" ht="20" customHeight="1">
      <c r="A36" s="53" t="inlineStr">
        <is>
          <t>SB001</t>
        </is>
      </c>
      <c r="B36" s="53" t="inlineStr">
        <is>
          <t>NS 9415:2021+AC:2024 Floating aquaculture farms - Site survey, design, execution and use</t>
        </is>
      </c>
      <c r="C36" s="53" t="inlineStr">
        <is>
          <t>SOURCE_REVIEW</t>
        </is>
      </c>
      <c r="D36" s="53" t="inlineStr">
        <is>
          <t>PAYWALL_BLOCKED; SELECTION_PENDING</t>
        </is>
      </c>
      <c r="E36" s="53" t="n">
        <v>15</v>
      </c>
      <c r="F36" s="53" t="inlineStr">
        <is>
          <t>PENDING</t>
        </is>
      </c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R36" s="44" t="n">
        <f>'Human Operation Desktop'!I9</f>
        <v>0</v>
      </c>
      <c r="S36" s="44" t="n">
        <f>'Human Operation Desktop'!AQ9</f>
        <v>0</v>
      </c>
      <c r="T36" s="44" t="n">
        <f>IF(AND(S36&gt;0,OR(R36="PENDING",R36="WAITING_FOR_HUMAN",R36="NEEDS_REPLAN")),MAX(0,INT(TODAY()-S36)),0)</f>
        <v>0</v>
      </c>
    </row>
    <row r="37" ht="20" customHeight="1">
      <c r="A37" s="56" t="inlineStr">
        <is>
          <t>SB002</t>
        </is>
      </c>
      <c r="B37" s="56" t="inlineStr">
        <is>
          <t>NS 9410:2016 Environmental monitoring of benthic impact from marine fish farms</t>
        </is>
      </c>
      <c r="C37" s="56" t="inlineStr">
        <is>
          <t>SOURCE_REVIEW</t>
        </is>
      </c>
      <c r="D37" s="56" t="inlineStr">
        <is>
          <t>PAYWALL_BLOCKED; SELECTION_PENDING</t>
        </is>
      </c>
      <c r="E37" s="56" t="n">
        <v>15</v>
      </c>
      <c r="F37" s="56" t="inlineStr">
        <is>
          <t>PENDING</t>
        </is>
      </c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R37" s="43" t="n">
        <f>'Human Operation Desktop'!I10</f>
        <v>0</v>
      </c>
      <c r="S37" s="43" t="n">
        <f>'Human Operation Desktop'!AQ10</f>
        <v>0</v>
      </c>
      <c r="T37" s="43" t="n">
        <f>IF(AND(S37&gt;0,OR(R37="PENDING",R37="WAITING_FOR_HUMAN",R37="NEEDS_REPLAN")),MAX(0,INT(TODAY()-S37)),0)</f>
        <v>0</v>
      </c>
    </row>
    <row r="38" ht="20" customHeight="1">
      <c r="A38" s="53" t="inlineStr">
        <is>
          <t>SB003</t>
        </is>
      </c>
      <c r="B38" s="53" t="inlineStr">
        <is>
          <t>NS 9416:2013 Land-based aquaculture facilities for fish</t>
        </is>
      </c>
      <c r="C38" s="53" t="inlineStr">
        <is>
          <t>SOURCE_REVIEW</t>
        </is>
      </c>
      <c r="D38" s="53" t="inlineStr">
        <is>
          <t>PAYWALL_BLOCKED; SELECTION_PENDING</t>
        </is>
      </c>
      <c r="E38" s="53" t="n">
        <v>15</v>
      </c>
      <c r="F38" s="53" t="inlineStr">
        <is>
          <t>PENDING</t>
        </is>
      </c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R38" s="44" t="n">
        <f>'Human Operation Desktop'!I11</f>
        <v>0</v>
      </c>
      <c r="S38" s="44" t="n">
        <f>'Human Operation Desktop'!AQ11</f>
        <v>0</v>
      </c>
      <c r="T38" s="44" t="n">
        <f>IF(AND(S38&gt;0,OR(R38="PENDING",R38="WAITING_FOR_HUMAN",R38="NEEDS_REPLAN")),MAX(0,INT(TODAY()-S38)),0)</f>
        <v>0</v>
      </c>
    </row>
    <row r="39" ht="20" customHeight="1">
      <c r="A39" s="56" t="inlineStr">
        <is>
          <t>SB004</t>
        </is>
      </c>
      <c r="B39" s="56" t="inlineStr">
        <is>
          <t>NS 5814:2021+AC:2023 Requirements for risk assessments</t>
        </is>
      </c>
      <c r="C39" s="56" t="inlineStr">
        <is>
          <t>SOURCE_REVIEW</t>
        </is>
      </c>
      <c r="D39" s="56" t="inlineStr">
        <is>
          <t>PAYWALL_BLOCKED; SELECTION_PENDING</t>
        </is>
      </c>
      <c r="E39" s="56" t="n">
        <v>15</v>
      </c>
      <c r="F39" s="56" t="inlineStr">
        <is>
          <t>PENDING</t>
        </is>
      </c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R39" s="43" t="n">
        <f>'Human Operation Desktop'!I12</f>
        <v>0</v>
      </c>
      <c r="S39" s="43" t="n">
        <f>'Human Operation Desktop'!AQ12</f>
        <v>0</v>
      </c>
      <c r="T39" s="43" t="n">
        <f>IF(AND(S39&gt;0,OR(R39="PENDING",R39="WAITING_FOR_HUMAN",R39="NEEDS_REPLAN")),MAX(0,INT(TODAY()-S39)),0)</f>
        <v>0</v>
      </c>
    </row>
    <row r="40" ht="20" customHeight="1">
      <c r="A40" s="53" t="inlineStr">
        <is>
          <t>SB005</t>
        </is>
      </c>
      <c r="B40" s="53" t="inlineStr">
        <is>
          <t>NS-ISO 31000:2018 Risk management - Guidelines</t>
        </is>
      </c>
      <c r="C40" s="53" t="inlineStr">
        <is>
          <t>SOURCE_REVIEW</t>
        </is>
      </c>
      <c r="D40" s="53" t="inlineStr">
        <is>
          <t>PAYWALL_BLOCKED; SELECTION_PENDING</t>
        </is>
      </c>
      <c r="E40" s="53" t="n">
        <v>15</v>
      </c>
      <c r="F40" s="53" t="inlineStr">
        <is>
          <t>PENDING</t>
        </is>
      </c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R40" s="44" t="n">
        <f>'Human Operation Desktop'!I13</f>
        <v>0</v>
      </c>
      <c r="S40" s="44" t="n">
        <f>'Human Operation Desktop'!AQ13</f>
        <v>0</v>
      </c>
      <c r="T40" s="44" t="n">
        <f>IF(AND(S40&gt;0,OR(R40="PENDING",R40="WAITING_FOR_HUMAN",R40="NEEDS_REPLAN")),MAX(0,INT(TODAY()-S40)),0)</f>
        <v>0</v>
      </c>
    </row>
    <row r="41" ht="20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R41" s="43" t="n">
        <f>'Human Operation Desktop'!I14</f>
        <v>0</v>
      </c>
      <c r="S41" s="43" t="n">
        <f>'Human Operation Desktop'!AQ14</f>
        <v>0</v>
      </c>
      <c r="T41" s="43" t="n">
        <f>IF(AND(S41&gt;0,OR(R41="PENDING",R41="WAITING_FOR_HUMAN",R41="NEEDS_REPLAN")),MAX(0,INT(TODAY()-S41)),0)</f>
        <v>0</v>
      </c>
    </row>
    <row r="42" ht="20" customHeight="1">
      <c r="A42" s="53" t="inlineStr">
        <is>
          <t>Complete decisions in Human Operation Desktop, save and close Excel, then run Routine Cycle.</t>
        </is>
      </c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  <c r="O42" s="54" t="n"/>
      <c r="P42" s="55" t="n"/>
      <c r="R42" s="44" t="n">
        <f>'Human Operation Desktop'!I15</f>
        <v>0</v>
      </c>
      <c r="S42" s="44" t="n">
        <f>'Human Operation Desktop'!AQ15</f>
        <v>0</v>
      </c>
      <c r="T42" s="44" t="n">
        <f>IF(AND(S42&gt;0,OR(R42="PENDING",R42="WAITING_FOR_HUMAN",R42="NEEDS_REPLAN")),MAX(0,INT(TODAY()-S42)),0)</f>
        <v>0</v>
      </c>
    </row>
    <row r="43" ht="20" customHeight="1">
      <c r="R43" s="43" t="n">
        <f>'Human Operation Desktop'!I16</f>
        <v>0</v>
      </c>
      <c r="S43" s="43" t="n">
        <f>'Human Operation Desktop'!AQ16</f>
        <v>0</v>
      </c>
      <c r="T43" s="43" t="n">
        <f>IF(AND(S43&gt;0,OR(R43="PENDING",R43="WAITING_FOR_HUMAN",R43="NEEDS_REPLAN")),MAX(0,INT(TODAY()-S43)),0)</f>
        <v>0</v>
      </c>
    </row>
    <row r="44" ht="20" customHeight="1">
      <c r="R44" s="44" t="n">
        <f>'Human Operation Desktop'!I17</f>
        <v>0</v>
      </c>
      <c r="S44" s="44" t="n">
        <f>'Human Operation Desktop'!AQ17</f>
        <v>0</v>
      </c>
      <c r="T44" s="44" t="n">
        <f>IF(AND(S44&gt;0,OR(R44="PENDING",R44="WAITING_FOR_HUMAN",R44="NEEDS_REPLAN")),MAX(0,INT(TODAY()-S44)),0)</f>
        <v>0</v>
      </c>
    </row>
    <row r="45" ht="20" customHeight="1">
      <c r="R45" s="43" t="n">
        <f>'Human Operation Desktop'!I18</f>
        <v>0</v>
      </c>
      <c r="S45" s="43" t="n">
        <f>'Human Operation Desktop'!AQ18</f>
        <v>0</v>
      </c>
      <c r="T45" s="43" t="n">
        <f>IF(AND(S45&gt;0,OR(R45="PENDING",R45="WAITING_FOR_HUMAN",R45="NEEDS_REPLAN")),MAX(0,INT(TODAY()-S45)),0)</f>
        <v>0</v>
      </c>
    </row>
    <row r="46" ht="20" customHeight="1">
      <c r="R46" s="44" t="n">
        <f>'Human Operation Desktop'!I19</f>
        <v>0</v>
      </c>
      <c r="S46" s="44" t="n">
        <f>'Human Operation Desktop'!AQ19</f>
        <v>0</v>
      </c>
      <c r="T46" s="44" t="n">
        <f>IF(AND(S46&gt;0,OR(R46="PENDING",R46="WAITING_FOR_HUMAN",R46="NEEDS_REPLAN")),MAX(0,INT(TODAY()-S46)),0)</f>
        <v>0</v>
      </c>
    </row>
    <row r="47" ht="20" customHeight="1">
      <c r="R47" s="43" t="n">
        <f>'Human Operation Desktop'!I20</f>
        <v>0</v>
      </c>
      <c r="S47" s="43" t="n">
        <f>'Human Operation Desktop'!AQ20</f>
        <v>0</v>
      </c>
      <c r="T47" s="43" t="n">
        <f>IF(AND(S47&gt;0,OR(R47="PENDING",R47="WAITING_FOR_HUMAN",R47="NEEDS_REPLAN")),MAX(0,INT(TODAY()-S47)),0)</f>
        <v>0</v>
      </c>
    </row>
    <row r="48" ht="20" customHeight="1">
      <c r="R48" s="44" t="n">
        <f>'Human Operation Desktop'!I21</f>
        <v>0</v>
      </c>
      <c r="S48" s="44" t="n">
        <f>'Human Operation Desktop'!AQ21</f>
        <v>0</v>
      </c>
      <c r="T48" s="44" t="n">
        <f>IF(AND(S48&gt;0,OR(R48="PENDING",R48="WAITING_FOR_HUMAN",R48="NEEDS_REPLAN")),MAX(0,INT(TODAY()-S48)),0)</f>
        <v>0</v>
      </c>
    </row>
    <row r="49" ht="20" customHeight="1">
      <c r="R49" s="43" t="n">
        <f>'Human Operation Desktop'!I22</f>
        <v>0</v>
      </c>
      <c r="S49" s="43" t="n">
        <f>'Human Operation Desktop'!AQ22</f>
        <v>0</v>
      </c>
      <c r="T49" s="43" t="n">
        <f>IF(AND(S49&gt;0,OR(R49="PENDING",R49="WAITING_FOR_HUMAN",R49="NEEDS_REPLAN")),MAX(0,INT(TODAY()-S49)),0)</f>
        <v>0</v>
      </c>
    </row>
    <row r="50" ht="20" customHeight="1">
      <c r="R50" s="44" t="n">
        <f>'Human Operation Desktop'!I23</f>
        <v>0</v>
      </c>
      <c r="S50" s="44" t="n">
        <f>'Human Operation Desktop'!AQ23</f>
        <v>0</v>
      </c>
      <c r="T50" s="44" t="n">
        <f>IF(AND(S50&gt;0,OR(R50="PENDING",R50="WAITING_FOR_HUMAN",R50="NEEDS_REPLAN")),MAX(0,INT(TODAY()-S50)),0)</f>
        <v>0</v>
      </c>
    </row>
    <row r="51" ht="20" customHeight="1">
      <c r="R51" s="43" t="n">
        <f>'Human Operation Desktop'!I24</f>
        <v>0</v>
      </c>
      <c r="S51" s="43" t="n">
        <f>'Human Operation Desktop'!AQ24</f>
        <v>0</v>
      </c>
      <c r="T51" s="43" t="n">
        <f>IF(AND(S51&gt;0,OR(R51="PENDING",R51="WAITING_FOR_HUMAN",R51="NEEDS_REPLAN")),MAX(0,INT(TODAY()-S51)),0)</f>
        <v>0</v>
      </c>
    </row>
    <row r="52" ht="20" customHeight="1">
      <c r="R52" s="44" t="n">
        <f>'Human Operation Desktop'!I25</f>
        <v>0</v>
      </c>
      <c r="S52" s="44" t="n">
        <f>'Human Operation Desktop'!AQ25</f>
        <v>0</v>
      </c>
      <c r="T52" s="44" t="n">
        <f>IF(AND(S52&gt;0,OR(R52="PENDING",R52="WAITING_FOR_HUMAN",R52="NEEDS_REPLAN")),MAX(0,INT(TODAY()-S52)),0)</f>
        <v>0</v>
      </c>
    </row>
    <row r="53" ht="20" customHeight="1">
      <c r="R53" s="43" t="n">
        <f>'Human Operation Desktop'!I26</f>
        <v>0</v>
      </c>
      <c r="S53" s="43" t="n">
        <f>'Human Operation Desktop'!AQ26</f>
        <v>0</v>
      </c>
      <c r="T53" s="43" t="n">
        <f>IF(AND(S53&gt;0,OR(R53="PENDING",R53="WAITING_FOR_HUMAN",R53="NEEDS_REPLAN")),MAX(0,INT(TODAY()-S53)),0)</f>
        <v>0</v>
      </c>
    </row>
    <row r="54" ht="20" customHeight="1">
      <c r="R54" s="44" t="n">
        <f>'Human Operation Desktop'!I27</f>
        <v>0</v>
      </c>
      <c r="S54" s="44" t="n">
        <f>'Human Operation Desktop'!AQ27</f>
        <v>0</v>
      </c>
      <c r="T54" s="44" t="n">
        <f>IF(AND(S54&gt;0,OR(R54="PENDING",R54="WAITING_FOR_HUMAN",R54="NEEDS_REPLAN")),MAX(0,INT(TODAY()-S54)),0)</f>
        <v>0</v>
      </c>
    </row>
    <row r="55" ht="20" customHeight="1">
      <c r="R55" s="43" t="n">
        <f>'Human Operation Desktop'!I28</f>
        <v>0</v>
      </c>
      <c r="S55" s="43" t="n">
        <f>'Human Operation Desktop'!AQ28</f>
        <v>0</v>
      </c>
      <c r="T55" s="43" t="n">
        <f>IF(AND(S55&gt;0,OR(R55="PENDING",R55="WAITING_FOR_HUMAN",R55="NEEDS_REPLAN")),MAX(0,INT(TODAY()-S55)),0)</f>
        <v>0</v>
      </c>
    </row>
    <row r="56" ht="20" customHeight="1">
      <c r="R56" s="44" t="n">
        <f>'Human Operation Desktop'!I29</f>
        <v>0</v>
      </c>
      <c r="S56" s="44" t="n">
        <f>'Human Operation Desktop'!AQ29</f>
        <v>0</v>
      </c>
      <c r="T56" s="44" t="n">
        <f>IF(AND(S56&gt;0,OR(R56="PENDING",R56="WAITING_FOR_HUMAN",R56="NEEDS_REPLAN")),MAX(0,INT(TODAY()-S56)),0)</f>
        <v>0</v>
      </c>
    </row>
    <row r="57" ht="20" customHeight="1">
      <c r="R57" s="43" t="n">
        <f>'Human Operation Desktop'!I30</f>
        <v>0</v>
      </c>
      <c r="S57" s="43" t="n">
        <f>'Human Operation Desktop'!AQ30</f>
        <v>0</v>
      </c>
      <c r="T57" s="43" t="n">
        <f>IF(AND(S57&gt;0,OR(R57="PENDING",R57="WAITING_FOR_HUMAN",R57="NEEDS_REPLAN")),MAX(0,INT(TODAY()-S57)),0)</f>
        <v>0</v>
      </c>
    </row>
    <row r="58" ht="20" customHeight="1">
      <c r="R58" s="44" t="n">
        <f>'Human Operation Desktop'!I31</f>
        <v>0</v>
      </c>
      <c r="S58" s="44" t="n">
        <f>'Human Operation Desktop'!AQ31</f>
        <v>0</v>
      </c>
      <c r="T58" s="44" t="n">
        <f>IF(AND(S58&gt;0,OR(R58="PENDING",R58="WAITING_FOR_HUMAN",R58="NEEDS_REPLAN")),MAX(0,INT(TODAY()-S58)),0)</f>
        <v>0</v>
      </c>
    </row>
    <row r="59" ht="20" customHeight="1">
      <c r="R59" s="43" t="n">
        <f>'Human Operation Desktop'!I32</f>
        <v>0</v>
      </c>
      <c r="S59" s="43" t="n">
        <f>'Human Operation Desktop'!AQ32</f>
        <v>0</v>
      </c>
      <c r="T59" s="43" t="n">
        <f>IF(AND(S59&gt;0,OR(R59="PENDING",R59="WAITING_FOR_HUMAN",R59="NEEDS_REPLAN")),MAX(0,INT(TODAY()-S59)),0)</f>
        <v>0</v>
      </c>
    </row>
    <row r="60" ht="20" customHeight="1">
      <c r="R60" s="44" t="n">
        <f>'Human Operation Desktop'!I33</f>
        <v>0</v>
      </c>
      <c r="S60" s="44" t="n">
        <f>'Human Operation Desktop'!AQ33</f>
        <v>0</v>
      </c>
      <c r="T60" s="44" t="n">
        <f>IF(AND(S60&gt;0,OR(R60="PENDING",R60="WAITING_FOR_HUMAN",R60="NEEDS_REPLAN")),MAX(0,INT(TODAY()-S60)),0)</f>
        <v>0</v>
      </c>
    </row>
    <row r="61" ht="20" customHeight="1">
      <c r="R61" s="43" t="n">
        <f>'Human Operation Desktop'!I34</f>
        <v>0</v>
      </c>
      <c r="S61" s="43" t="n">
        <f>'Human Operation Desktop'!AQ34</f>
        <v>0</v>
      </c>
      <c r="T61" s="43" t="n">
        <f>IF(AND(S61&gt;0,OR(R61="PENDING",R61="WAITING_FOR_HUMAN",R61="NEEDS_REPLAN")),MAX(0,INT(TODAY()-S61)),0)</f>
        <v>0</v>
      </c>
    </row>
    <row r="62" ht="20" customHeight="1">
      <c r="R62" s="44" t="n">
        <f>'Human Operation Desktop'!I35</f>
        <v>0</v>
      </c>
      <c r="S62" s="44" t="n">
        <f>'Human Operation Desktop'!AQ35</f>
        <v>0</v>
      </c>
      <c r="T62" s="44" t="n">
        <f>IF(AND(S62&gt;0,OR(R62="PENDING",R62="WAITING_FOR_HUMAN",R62="NEEDS_REPLAN")),MAX(0,INT(TODAY()-S62)),0)</f>
        <v>0</v>
      </c>
    </row>
    <row r="63" ht="20" customHeight="1">
      <c r="R63" s="43" t="n">
        <f>'Human Operation Desktop'!I36</f>
        <v>0</v>
      </c>
      <c r="S63" s="43" t="n">
        <f>'Human Operation Desktop'!AQ36</f>
        <v>0</v>
      </c>
      <c r="T63" s="43" t="n">
        <f>IF(AND(S63&gt;0,OR(R63="PENDING",R63="WAITING_FOR_HUMAN",R63="NEEDS_REPLAN")),MAX(0,INT(TODAY()-S63)),0)</f>
        <v>0</v>
      </c>
    </row>
    <row r="64" ht="20" customHeight="1">
      <c r="R64" s="44" t="n">
        <f>'Human Operation Desktop'!I37</f>
        <v>0</v>
      </c>
      <c r="S64" s="44" t="n">
        <f>'Human Operation Desktop'!AQ37</f>
        <v>0</v>
      </c>
      <c r="T64" s="44" t="n">
        <f>IF(AND(S64&gt;0,OR(R64="PENDING",R64="WAITING_FOR_HUMAN",R64="NEEDS_REPLAN")),MAX(0,INT(TODAY()-S64)),0)</f>
        <v>0</v>
      </c>
    </row>
    <row r="65" ht="20" customHeight="1">
      <c r="R65" s="43" t="n">
        <f>'Human Operation Desktop'!I38</f>
        <v>0</v>
      </c>
      <c r="S65" s="43" t="n">
        <f>'Human Operation Desktop'!AQ38</f>
        <v>0</v>
      </c>
      <c r="T65" s="43" t="n">
        <f>IF(AND(S65&gt;0,OR(R65="PENDING",R65="WAITING_FOR_HUMAN",R65="NEEDS_REPLAN")),MAX(0,INT(TODAY()-S65)),0)</f>
        <v>0</v>
      </c>
    </row>
    <row r="66" ht="20" customHeight="1">
      <c r="R66" s="44" t="n">
        <f>'Human Operation Desktop'!I39</f>
        <v>0</v>
      </c>
      <c r="S66" s="44" t="n">
        <f>'Human Operation Desktop'!AQ39</f>
        <v>0</v>
      </c>
      <c r="T66" s="44" t="n">
        <f>IF(AND(S66&gt;0,OR(R66="PENDING",R66="WAITING_FOR_HUMAN",R66="NEEDS_REPLAN")),MAX(0,INT(TODAY()-S66)),0)</f>
        <v>0</v>
      </c>
    </row>
    <row r="67" ht="20" customHeight="1">
      <c r="R67" s="43" t="n">
        <f>'Human Operation Desktop'!I40</f>
        <v>0</v>
      </c>
      <c r="S67" s="43" t="n">
        <f>'Human Operation Desktop'!AQ40</f>
        <v>0</v>
      </c>
      <c r="T67" s="43" t="n">
        <f>IF(AND(S67&gt;0,OR(R67="PENDING",R67="WAITING_FOR_HUMAN",R67="NEEDS_REPLAN")),MAX(0,INT(TODAY()-S67)),0)</f>
        <v>0</v>
      </c>
    </row>
    <row r="68" ht="20" customHeight="1">
      <c r="R68" s="44" t="n">
        <f>'Human Operation Desktop'!I41</f>
        <v>0</v>
      </c>
      <c r="S68" s="44" t="n">
        <f>'Human Operation Desktop'!AQ41</f>
        <v>0</v>
      </c>
      <c r="T68" s="44" t="n">
        <f>IF(AND(S68&gt;0,OR(R68="PENDING",R68="WAITING_FOR_HUMAN",R68="NEEDS_REPLAN")),MAX(0,INT(TODAY()-S68)),0)</f>
        <v>0</v>
      </c>
    </row>
    <row r="69" ht="20" customHeight="1">
      <c r="R69" s="43" t="n">
        <f>'Human Operation Desktop'!I42</f>
        <v>0</v>
      </c>
      <c r="S69" s="43" t="n">
        <f>'Human Operation Desktop'!AQ42</f>
        <v>0</v>
      </c>
      <c r="T69" s="43" t="n">
        <f>IF(AND(S69&gt;0,OR(R69="PENDING",R69="WAITING_FOR_HUMAN",R69="NEEDS_REPLAN")),MAX(0,INT(TODAY()-S69)),0)</f>
        <v>0</v>
      </c>
    </row>
    <row r="70" ht="20" customHeight="1">
      <c r="R70" s="44" t="n">
        <f>'Human Operation Desktop'!I43</f>
        <v>0</v>
      </c>
      <c r="S70" s="44" t="n">
        <f>'Human Operation Desktop'!AQ43</f>
        <v>0</v>
      </c>
      <c r="T70" s="44" t="n">
        <f>IF(AND(S70&gt;0,OR(R70="PENDING",R70="WAITING_FOR_HUMAN",R70="NEEDS_REPLAN")),MAX(0,INT(TODAY()-S70)),0)</f>
        <v>0</v>
      </c>
    </row>
    <row r="71" ht="20" customHeight="1">
      <c r="R71" s="43" t="n">
        <f>'Human Operation Desktop'!I44</f>
        <v>0</v>
      </c>
      <c r="S71" s="43" t="n">
        <f>'Human Operation Desktop'!AQ44</f>
        <v>0</v>
      </c>
      <c r="T71" s="43" t="n">
        <f>IF(AND(S71&gt;0,OR(R71="PENDING",R71="WAITING_FOR_HUMAN",R71="NEEDS_REPLAN")),MAX(0,INT(TODAY()-S71)),0)</f>
        <v>0</v>
      </c>
    </row>
    <row r="72" ht="20" customHeight="1">
      <c r="R72" s="44" t="n">
        <f>'Human Operation Desktop'!I45</f>
        <v>0</v>
      </c>
      <c r="S72" s="44" t="n">
        <f>'Human Operation Desktop'!AQ45</f>
        <v>0</v>
      </c>
      <c r="T72" s="44" t="n">
        <f>IF(AND(S72&gt;0,OR(R72="PENDING",R72="WAITING_FOR_HUMAN",R72="NEEDS_REPLAN")),MAX(0,INT(TODAY()-S72)),0)</f>
        <v>0</v>
      </c>
    </row>
    <row r="73" ht="20" customHeight="1">
      <c r="R73" s="43" t="n">
        <f>'Human Operation Desktop'!I46</f>
        <v>0</v>
      </c>
      <c r="S73" s="43" t="n">
        <f>'Human Operation Desktop'!AQ46</f>
        <v>0</v>
      </c>
      <c r="T73" s="43" t="n">
        <f>IF(AND(S73&gt;0,OR(R73="PENDING",R73="WAITING_FOR_HUMAN",R73="NEEDS_REPLAN")),MAX(0,INT(TODAY()-S73)),0)</f>
        <v>0</v>
      </c>
    </row>
    <row r="74" ht="20" customHeight="1">
      <c r="R74" s="44" t="n">
        <f>'Human Operation Desktop'!I47</f>
        <v>0</v>
      </c>
      <c r="S74" s="44" t="n">
        <f>'Human Operation Desktop'!AQ47</f>
        <v>0</v>
      </c>
      <c r="T74" s="44" t="n">
        <f>IF(AND(S74&gt;0,OR(R74="PENDING",R74="WAITING_FOR_HUMAN",R74="NEEDS_REPLAN")),MAX(0,INT(TODAY()-S74)),0)</f>
        <v>0</v>
      </c>
    </row>
    <row r="75" ht="20" customHeight="1">
      <c r="R75" s="43" t="n">
        <f>'Human Operation Desktop'!I48</f>
        <v>0</v>
      </c>
      <c r="S75" s="43" t="n">
        <f>'Human Operation Desktop'!AQ48</f>
        <v>0</v>
      </c>
      <c r="T75" s="43" t="n">
        <f>IF(AND(S75&gt;0,OR(R75="PENDING",R75="WAITING_FOR_HUMAN",R75="NEEDS_REPLAN")),MAX(0,INT(TODAY()-S75)),0)</f>
        <v>0</v>
      </c>
    </row>
    <row r="76" ht="20" customHeight="1">
      <c r="R76" s="44" t="n">
        <f>'Human Operation Desktop'!I49</f>
        <v>0</v>
      </c>
      <c r="S76" s="44" t="n">
        <f>'Human Operation Desktop'!AQ49</f>
        <v>0</v>
      </c>
      <c r="T76" s="44" t="n">
        <f>IF(AND(S76&gt;0,OR(R76="PENDING",R76="WAITING_FOR_HUMAN",R76="NEEDS_REPLAN")),MAX(0,INT(TODAY()-S76)),0)</f>
        <v>0</v>
      </c>
    </row>
    <row r="77" ht="20" customHeight="1">
      <c r="R77" s="43" t="n">
        <f>'Human Operation Desktop'!I50</f>
        <v>0</v>
      </c>
      <c r="S77" s="43" t="n">
        <f>'Human Operation Desktop'!AQ50</f>
        <v>0</v>
      </c>
      <c r="T77" s="43" t="n">
        <f>IF(AND(S77&gt;0,OR(R77="PENDING",R77="WAITING_FOR_HUMAN",R77="NEEDS_REPLAN")),MAX(0,INT(TODAY()-S77)),0)</f>
        <v>0</v>
      </c>
    </row>
    <row r="78" ht="20" customHeight="1">
      <c r="R78" s="44" t="n">
        <f>'Human Operation Desktop'!I51</f>
        <v>0</v>
      </c>
      <c r="S78" s="44" t="n">
        <f>'Human Operation Desktop'!AQ51</f>
        <v>0</v>
      </c>
      <c r="T78" s="44" t="n">
        <f>IF(AND(S78&gt;0,OR(R78="PENDING",R78="WAITING_FOR_HUMAN",R78="NEEDS_REPLAN")),MAX(0,INT(TODAY()-S78)),0)</f>
        <v>0</v>
      </c>
    </row>
    <row r="79" ht="20" customHeight="1">
      <c r="R79" s="43" t="n">
        <f>'Human Operation Desktop'!I52</f>
        <v>0</v>
      </c>
      <c r="S79" s="43" t="n">
        <f>'Human Operation Desktop'!AQ52</f>
        <v>0</v>
      </c>
      <c r="T79" s="43" t="n">
        <f>IF(AND(S79&gt;0,OR(R79="PENDING",R79="WAITING_FOR_HUMAN",R79="NEEDS_REPLAN")),MAX(0,INT(TODAY()-S79)),0)</f>
        <v>0</v>
      </c>
    </row>
    <row r="80" ht="20" customHeight="1">
      <c r="R80" s="44" t="n">
        <f>'Human Operation Desktop'!I53</f>
        <v>0</v>
      </c>
      <c r="S80" s="44" t="n">
        <f>'Human Operation Desktop'!AQ53</f>
        <v>0</v>
      </c>
      <c r="T80" s="44" t="n">
        <f>IF(AND(S80&gt;0,OR(R80="PENDING",R80="WAITING_FOR_HUMAN",R80="NEEDS_REPLAN")),MAX(0,INT(TODAY()-S80)),0)</f>
        <v>0</v>
      </c>
    </row>
    <row r="81" ht="20" customHeight="1">
      <c r="R81" s="43" t="n">
        <f>'Human Operation Desktop'!I54</f>
        <v>0</v>
      </c>
      <c r="S81" s="43" t="n">
        <f>'Human Operation Desktop'!AQ54</f>
        <v>0</v>
      </c>
      <c r="T81" s="43" t="n">
        <f>IF(AND(S81&gt;0,OR(R81="PENDING",R81="WAITING_FOR_HUMAN",R81="NEEDS_REPLAN")),MAX(0,INT(TODAY()-S81)),0)</f>
        <v>0</v>
      </c>
    </row>
    <row r="82" ht="20" customHeight="1">
      <c r="R82" s="44" t="n">
        <f>'Human Operation Desktop'!I55</f>
        <v>0</v>
      </c>
      <c r="S82" s="44" t="n">
        <f>'Human Operation Desktop'!AQ55</f>
        <v>0</v>
      </c>
      <c r="T82" s="44" t="n">
        <f>IF(AND(S82&gt;0,OR(R82="PENDING",R82="WAITING_FOR_HUMAN",R82="NEEDS_REPLAN")),MAX(0,INT(TODAY()-S82)),0)</f>
        <v>0</v>
      </c>
    </row>
    <row r="83" ht="20" customHeight="1">
      <c r="R83" s="43" t="n">
        <f>'Human Operation Desktop'!I56</f>
        <v>0</v>
      </c>
      <c r="S83" s="43" t="n">
        <f>'Human Operation Desktop'!AQ56</f>
        <v>0</v>
      </c>
      <c r="T83" s="43" t="n">
        <f>IF(AND(S83&gt;0,OR(R83="PENDING",R83="WAITING_FOR_HUMAN",R83="NEEDS_REPLAN")),MAX(0,INT(TODAY()-S83)),0)</f>
        <v>0</v>
      </c>
    </row>
    <row r="84" ht="20" customHeight="1">
      <c r="R84" s="44" t="n">
        <f>'Human Operation Desktop'!I57</f>
        <v>0</v>
      </c>
      <c r="S84" s="44" t="n">
        <f>'Human Operation Desktop'!AQ57</f>
        <v>0</v>
      </c>
      <c r="T84" s="44" t="n">
        <f>IF(AND(S84&gt;0,OR(R84="PENDING",R84="WAITING_FOR_HUMAN",R84="NEEDS_REPLAN")),MAX(0,INT(TODAY()-S84)),0)</f>
        <v>0</v>
      </c>
    </row>
    <row r="85" ht="20" customHeight="1">
      <c r="R85" s="43" t="n">
        <f>'Human Operation Desktop'!I58</f>
        <v>0</v>
      </c>
      <c r="S85" s="43" t="n">
        <f>'Human Operation Desktop'!AQ58</f>
        <v>0</v>
      </c>
      <c r="T85" s="43" t="n">
        <f>IF(AND(S85&gt;0,OR(R85="PENDING",R85="WAITING_FOR_HUMAN",R85="NEEDS_REPLAN")),MAX(0,INT(TODAY()-S85)),0)</f>
        <v>0</v>
      </c>
    </row>
    <row r="86" ht="20" customHeight="1">
      <c r="R86" s="44" t="n">
        <f>'Human Operation Desktop'!I59</f>
        <v>0</v>
      </c>
      <c r="S86" s="44" t="n">
        <f>'Human Operation Desktop'!AQ59</f>
        <v>0</v>
      </c>
      <c r="T86" s="44" t="n">
        <f>IF(AND(S86&gt;0,OR(R86="PENDING",R86="WAITING_FOR_HUMAN",R86="NEEDS_REPLAN")),MAX(0,INT(TODAY()-S86)),0)</f>
        <v>0</v>
      </c>
    </row>
    <row r="87" ht="20" customHeight="1">
      <c r="R87" s="43" t="n">
        <f>'Human Operation Desktop'!I60</f>
        <v>0</v>
      </c>
      <c r="S87" s="43" t="n">
        <f>'Human Operation Desktop'!AQ60</f>
        <v>0</v>
      </c>
      <c r="T87" s="43" t="n">
        <f>IF(AND(S87&gt;0,OR(R87="PENDING",R87="WAITING_FOR_HUMAN",R87="NEEDS_REPLAN")),MAX(0,INT(TODAY()-S87)),0)</f>
        <v>0</v>
      </c>
    </row>
    <row r="88" ht="20" customHeight="1">
      <c r="R88" s="44" t="n">
        <f>'Human Operation Desktop'!I61</f>
        <v>0</v>
      </c>
      <c r="S88" s="44" t="n">
        <f>'Human Operation Desktop'!AQ61</f>
        <v>0</v>
      </c>
      <c r="T88" s="44" t="n">
        <f>IF(AND(S88&gt;0,OR(R88="PENDING",R88="WAITING_FOR_HUMAN",R88="NEEDS_REPLAN")),MAX(0,INT(TODAY()-S88)),0)</f>
        <v>0</v>
      </c>
    </row>
    <row r="89" ht="20" customHeight="1">
      <c r="R89" s="43" t="n">
        <f>'Human Operation Desktop'!I62</f>
        <v>0</v>
      </c>
      <c r="S89" s="43" t="n">
        <f>'Human Operation Desktop'!AQ62</f>
        <v>0</v>
      </c>
      <c r="T89" s="43" t="n">
        <f>IF(AND(S89&gt;0,OR(R89="PENDING",R89="WAITING_FOR_HUMAN",R89="NEEDS_REPLAN")),MAX(0,INT(TODAY()-S89)),0)</f>
        <v>0</v>
      </c>
    </row>
    <row r="90" ht="20" customHeight="1">
      <c r="R90" s="44" t="n">
        <f>'Human Operation Desktop'!I63</f>
        <v>0</v>
      </c>
      <c r="S90" s="44" t="n">
        <f>'Human Operation Desktop'!AQ63</f>
        <v>0</v>
      </c>
      <c r="T90" s="44" t="n">
        <f>IF(AND(S90&gt;0,OR(R90="PENDING",R90="WAITING_FOR_HUMAN",R90="NEEDS_REPLAN")),MAX(0,INT(TODAY()-S90)),0)</f>
        <v>0</v>
      </c>
    </row>
    <row r="91" ht="20" customHeight="1">
      <c r="R91" s="43" t="n">
        <f>'Human Operation Desktop'!I64</f>
        <v>0</v>
      </c>
      <c r="S91" s="43" t="n">
        <f>'Human Operation Desktop'!AQ64</f>
        <v>0</v>
      </c>
      <c r="T91" s="43" t="n">
        <f>IF(AND(S91&gt;0,OR(R91="PENDING",R91="WAITING_FOR_HUMAN",R91="NEEDS_REPLAN")),MAX(0,INT(TODAY()-S91)),0)</f>
        <v>0</v>
      </c>
    </row>
    <row r="92" ht="20" customHeight="1">
      <c r="R92" s="44" t="n">
        <f>'Human Operation Desktop'!I65</f>
        <v>0</v>
      </c>
      <c r="S92" s="44" t="n">
        <f>'Human Operation Desktop'!AQ65</f>
        <v>0</v>
      </c>
      <c r="T92" s="44" t="n">
        <f>IF(AND(S92&gt;0,OR(R92="PENDING",R92="WAITING_FOR_HUMAN",R92="NEEDS_REPLAN")),MAX(0,INT(TODAY()-S92)),0)</f>
        <v>0</v>
      </c>
    </row>
    <row r="93" ht="20" customHeight="1">
      <c r="R93" s="43" t="n">
        <f>'Human Operation Desktop'!I66</f>
        <v>0</v>
      </c>
      <c r="S93" s="43" t="n">
        <f>'Human Operation Desktop'!AQ66</f>
        <v>0</v>
      </c>
      <c r="T93" s="43" t="n">
        <f>IF(AND(S93&gt;0,OR(R93="PENDING",R93="WAITING_FOR_HUMAN",R93="NEEDS_REPLAN")),MAX(0,INT(TODAY()-S93)),0)</f>
        <v>0</v>
      </c>
    </row>
    <row r="94" ht="20" customHeight="1">
      <c r="R94" s="44" t="n">
        <f>'Human Operation Desktop'!I67</f>
        <v>0</v>
      </c>
      <c r="S94" s="44" t="n">
        <f>'Human Operation Desktop'!AQ67</f>
        <v>0</v>
      </c>
      <c r="T94" s="44" t="n">
        <f>IF(AND(S94&gt;0,OR(R94="PENDING",R94="WAITING_FOR_HUMAN",R94="NEEDS_REPLAN")),MAX(0,INT(TODAY()-S94)),0)</f>
        <v>0</v>
      </c>
    </row>
    <row r="95" ht="20" customHeight="1">
      <c r="R95" s="43" t="n">
        <f>'Human Operation Desktop'!I68</f>
        <v>0</v>
      </c>
      <c r="S95" s="43" t="n">
        <f>'Human Operation Desktop'!AQ68</f>
        <v>0</v>
      </c>
      <c r="T95" s="43" t="n">
        <f>IF(AND(S95&gt;0,OR(R95="PENDING",R95="WAITING_FOR_HUMAN",R95="NEEDS_REPLAN")),MAX(0,INT(TODAY()-S95)),0)</f>
        <v>0</v>
      </c>
    </row>
    <row r="96" ht="20" customHeight="1">
      <c r="R96" s="44" t="n">
        <f>'Human Operation Desktop'!I69</f>
        <v>0</v>
      </c>
      <c r="S96" s="44" t="n">
        <f>'Human Operation Desktop'!AQ69</f>
        <v>0</v>
      </c>
      <c r="T96" s="44" t="n">
        <f>IF(AND(S96&gt;0,OR(R96="PENDING",R96="WAITING_FOR_HUMAN",R96="NEEDS_REPLAN")),MAX(0,INT(TODAY()-S96)),0)</f>
        <v>0</v>
      </c>
    </row>
    <row r="97" ht="20" customHeight="1">
      <c r="R97" s="43" t="n">
        <f>'Human Operation Desktop'!I70</f>
        <v>0</v>
      </c>
      <c r="S97" s="43" t="n">
        <f>'Human Operation Desktop'!AQ70</f>
        <v>0</v>
      </c>
      <c r="T97" s="43" t="n">
        <f>IF(AND(S97&gt;0,OR(R97="PENDING",R97="WAITING_FOR_HUMAN",R97="NEEDS_REPLAN")),MAX(0,INT(TODAY()-S97)),0)</f>
        <v>0</v>
      </c>
    </row>
    <row r="98" ht="20" customHeight="1">
      <c r="R98" s="44" t="n">
        <f>'Human Operation Desktop'!I71</f>
        <v>0</v>
      </c>
      <c r="S98" s="44" t="n">
        <f>'Human Operation Desktop'!AQ71</f>
        <v>0</v>
      </c>
      <c r="T98" s="44" t="n">
        <f>IF(AND(S98&gt;0,OR(R98="PENDING",R98="WAITING_FOR_HUMAN",R98="NEEDS_REPLAN")),MAX(0,INT(TODAY()-S98)),0)</f>
        <v>0</v>
      </c>
    </row>
    <row r="99" ht="20" customHeight="1">
      <c r="R99" s="43" t="n">
        <f>'Human Operation Desktop'!I72</f>
        <v>0</v>
      </c>
      <c r="S99" s="43" t="n">
        <f>'Human Operation Desktop'!AQ72</f>
        <v>0</v>
      </c>
      <c r="T99" s="43" t="n">
        <f>IF(AND(S99&gt;0,OR(R99="PENDING",R99="WAITING_FOR_HUMAN",R99="NEEDS_REPLAN")),MAX(0,INT(TODAY()-S99)),0)</f>
        <v>0</v>
      </c>
    </row>
    <row r="100" ht="20" customHeight="1">
      <c r="R100" s="44" t="n">
        <f>'Human Operation Desktop'!I73</f>
        <v>0</v>
      </c>
      <c r="S100" s="44" t="n">
        <f>'Human Operation Desktop'!AQ73</f>
        <v>0</v>
      </c>
      <c r="T100" s="44" t="n">
        <f>IF(AND(S100&gt;0,OR(R100="PENDING",R100="WAITING_FOR_HUMAN",R100="NEEDS_REPLAN")),MAX(0,INT(TODAY()-S100)),0)</f>
        <v>0</v>
      </c>
    </row>
    <row r="101" ht="20" customHeight="1">
      <c r="R101" s="43" t="n">
        <f>'Human Operation Desktop'!I74</f>
        <v>0</v>
      </c>
      <c r="S101" s="43" t="n">
        <f>'Human Operation Desktop'!AQ74</f>
        <v>0</v>
      </c>
      <c r="T101" s="43" t="n">
        <f>IF(AND(S101&gt;0,OR(R101="PENDING",R101="WAITING_FOR_HUMAN",R101="NEEDS_REPLAN")),MAX(0,INT(TODAY()-S101)),0)</f>
        <v>0</v>
      </c>
    </row>
    <row r="102" ht="20" customHeight="1">
      <c r="R102" s="44" t="n">
        <f>'Human Operation Desktop'!I75</f>
        <v>0</v>
      </c>
      <c r="S102" s="44" t="n">
        <f>'Human Operation Desktop'!AQ75</f>
        <v>0</v>
      </c>
      <c r="T102" s="44" t="n">
        <f>IF(AND(S102&gt;0,OR(R102="PENDING",R102="WAITING_FOR_HUMAN",R102="NEEDS_REPLAN")),MAX(0,INT(TODAY()-S102)),0)</f>
        <v>0</v>
      </c>
    </row>
    <row r="103" ht="20" customHeight="1">
      <c r="R103" s="43" t="n">
        <f>'Human Operation Desktop'!I76</f>
        <v>0</v>
      </c>
      <c r="S103" s="43" t="n">
        <f>'Human Operation Desktop'!AQ76</f>
        <v>0</v>
      </c>
      <c r="T103" s="43" t="n">
        <f>IF(AND(S103&gt;0,OR(R103="PENDING",R103="WAITING_FOR_HUMAN",R103="NEEDS_REPLAN")),MAX(0,INT(TODAY()-S103)),0)</f>
        <v>0</v>
      </c>
    </row>
    <row r="104" ht="20" customHeight="1">
      <c r="R104" s="44" t="n">
        <f>'Human Operation Desktop'!I77</f>
        <v>0</v>
      </c>
      <c r="S104" s="44" t="n">
        <f>'Human Operation Desktop'!AQ77</f>
        <v>0</v>
      </c>
      <c r="T104" s="44" t="n">
        <f>IF(AND(S104&gt;0,OR(R104="PENDING",R104="WAITING_FOR_HUMAN",R104="NEEDS_REPLAN")),MAX(0,INT(TODAY()-S104)),0)</f>
        <v>0</v>
      </c>
    </row>
    <row r="105" ht="20" customHeight="1">
      <c r="R105" s="43" t="n">
        <f>'Human Operation Desktop'!I78</f>
        <v>0</v>
      </c>
      <c r="S105" s="43" t="n">
        <f>'Human Operation Desktop'!AQ78</f>
        <v>0</v>
      </c>
      <c r="T105" s="43" t="n">
        <f>IF(AND(S105&gt;0,OR(R105="PENDING",R105="WAITING_FOR_HUMAN",R105="NEEDS_REPLAN")),MAX(0,INT(TODAY()-S105)),0)</f>
        <v>0</v>
      </c>
    </row>
    <row r="106" ht="20" customHeight="1">
      <c r="R106" s="44" t="n">
        <f>'Human Operation Desktop'!I79</f>
        <v>0</v>
      </c>
      <c r="S106" s="44" t="n">
        <f>'Human Operation Desktop'!AQ79</f>
        <v>0</v>
      </c>
      <c r="T106" s="44" t="n">
        <f>IF(AND(S106&gt;0,OR(R106="PENDING",R106="WAITING_FOR_HUMAN",R106="NEEDS_REPLAN")),MAX(0,INT(TODAY()-S106)),0)</f>
        <v>0</v>
      </c>
    </row>
    <row r="107" ht="20" customHeight="1">
      <c r="R107" s="43" t="n">
        <f>'Human Operation Desktop'!I80</f>
        <v>0</v>
      </c>
      <c r="S107" s="43" t="n">
        <f>'Human Operation Desktop'!AQ80</f>
        <v>0</v>
      </c>
      <c r="T107" s="43" t="n">
        <f>IF(AND(S107&gt;0,OR(R107="PENDING",R107="WAITING_FOR_HUMAN",R107="NEEDS_REPLAN")),MAX(0,INT(TODAY()-S107)),0)</f>
        <v>0</v>
      </c>
    </row>
    <row r="108" ht="20" customHeight="1">
      <c r="R108" s="44" t="n">
        <f>'Human Operation Desktop'!I81</f>
        <v>0</v>
      </c>
      <c r="S108" s="44" t="n">
        <f>'Human Operation Desktop'!AQ81</f>
        <v>0</v>
      </c>
      <c r="T108" s="44" t="n">
        <f>IF(AND(S108&gt;0,OR(R108="PENDING",R108="WAITING_FOR_HUMAN",R108="NEEDS_REPLAN")),MAX(0,INT(TODAY()-S108)),0)</f>
        <v>0</v>
      </c>
    </row>
    <row r="109" ht="20" customHeight="1">
      <c r="R109" s="43" t="n">
        <f>'Human Operation Desktop'!I82</f>
        <v>0</v>
      </c>
      <c r="S109" s="43" t="n">
        <f>'Human Operation Desktop'!AQ82</f>
        <v>0</v>
      </c>
      <c r="T109" s="43" t="n">
        <f>IF(AND(S109&gt;0,OR(R109="PENDING",R109="WAITING_FOR_HUMAN",R109="NEEDS_REPLAN")),MAX(0,INT(TODAY()-S109)),0)</f>
        <v>0</v>
      </c>
    </row>
    <row r="110" ht="20" customHeight="1">
      <c r="R110" s="44" t="n">
        <f>'Human Operation Desktop'!I83</f>
        <v>0</v>
      </c>
      <c r="S110" s="44" t="n">
        <f>'Human Operation Desktop'!AQ83</f>
        <v>0</v>
      </c>
      <c r="T110" s="44" t="n">
        <f>IF(AND(S110&gt;0,OR(R110="PENDING",R110="WAITING_FOR_HUMAN",R110="NEEDS_REPLAN")),MAX(0,INT(TODAY()-S110)),0)</f>
        <v>0</v>
      </c>
    </row>
    <row r="111" ht="20" customHeight="1">
      <c r="R111" s="43" t="n">
        <f>'Human Operation Desktop'!I84</f>
        <v>0</v>
      </c>
      <c r="S111" s="43" t="n">
        <f>'Human Operation Desktop'!AQ84</f>
        <v>0</v>
      </c>
      <c r="T111" s="43" t="n">
        <f>IF(AND(S111&gt;0,OR(R111="PENDING",R111="WAITING_FOR_HUMAN",R111="NEEDS_REPLAN")),MAX(0,INT(TODAY()-S111)),0)</f>
        <v>0</v>
      </c>
    </row>
    <row r="112" ht="20" customHeight="1">
      <c r="R112" s="44" t="n">
        <f>'Human Operation Desktop'!I85</f>
        <v>0</v>
      </c>
      <c r="S112" s="44" t="n">
        <f>'Human Operation Desktop'!AQ85</f>
        <v>0</v>
      </c>
      <c r="T112" s="44" t="n">
        <f>IF(AND(S112&gt;0,OR(R112="PENDING",R112="WAITING_FOR_HUMAN",R112="NEEDS_REPLAN")),MAX(0,INT(TODAY()-S112)),0)</f>
        <v>0</v>
      </c>
    </row>
    <row r="113" ht="20" customHeight="1">
      <c r="R113" s="43" t="n">
        <f>'Human Operation Desktop'!I86</f>
        <v>0</v>
      </c>
      <c r="S113" s="43" t="n">
        <f>'Human Operation Desktop'!AQ86</f>
        <v>0</v>
      </c>
      <c r="T113" s="43" t="n">
        <f>IF(AND(S113&gt;0,OR(R113="PENDING",R113="WAITING_FOR_HUMAN",R113="NEEDS_REPLAN")),MAX(0,INT(TODAY()-S113)),0)</f>
        <v>0</v>
      </c>
    </row>
    <row r="114" ht="20" customHeight="1">
      <c r="R114" s="44" t="n">
        <f>'Human Operation Desktop'!I87</f>
        <v>0</v>
      </c>
      <c r="S114" s="44" t="n">
        <f>'Human Operation Desktop'!AQ87</f>
        <v>0</v>
      </c>
      <c r="T114" s="44" t="n">
        <f>IF(AND(S114&gt;0,OR(R114="PENDING",R114="WAITING_FOR_HUMAN",R114="NEEDS_REPLAN")),MAX(0,INT(TODAY()-S114)),0)</f>
        <v>0</v>
      </c>
    </row>
    <row r="115" ht="20" customHeight="1">
      <c r="R115" s="43" t="n">
        <f>'Human Operation Desktop'!I88</f>
        <v>0</v>
      </c>
      <c r="S115" s="43" t="n">
        <f>'Human Operation Desktop'!AQ88</f>
        <v>0</v>
      </c>
      <c r="T115" s="43" t="n">
        <f>IF(AND(S115&gt;0,OR(R115="PENDING",R115="WAITING_FOR_HUMAN",R115="NEEDS_REPLAN")),MAX(0,INT(TODAY()-S115)),0)</f>
        <v>0</v>
      </c>
    </row>
    <row r="116" ht="20" customHeight="1">
      <c r="R116" s="44" t="n">
        <f>'Human Operation Desktop'!I89</f>
        <v>0</v>
      </c>
      <c r="S116" s="44" t="n">
        <f>'Human Operation Desktop'!AQ89</f>
        <v>0</v>
      </c>
      <c r="T116" s="44" t="n">
        <f>IF(AND(S116&gt;0,OR(R116="PENDING",R116="WAITING_FOR_HUMAN",R116="NEEDS_REPLAN")),MAX(0,INT(TODAY()-S116)),0)</f>
        <v>0</v>
      </c>
    </row>
    <row r="117" ht="20" customHeight="1">
      <c r="R117" s="43" t="n">
        <f>'Human Operation Desktop'!I90</f>
        <v>0</v>
      </c>
      <c r="S117" s="43" t="n">
        <f>'Human Operation Desktop'!AQ90</f>
        <v>0</v>
      </c>
      <c r="T117" s="43" t="n">
        <f>IF(AND(S117&gt;0,OR(R117="PENDING",R117="WAITING_FOR_HUMAN",R117="NEEDS_REPLAN")),MAX(0,INT(TODAY()-S117)),0)</f>
        <v>0</v>
      </c>
    </row>
    <row r="118" ht="20" customHeight="1">
      <c r="R118" s="44" t="n">
        <f>'Human Operation Desktop'!I91</f>
        <v>0</v>
      </c>
      <c r="S118" s="44" t="n">
        <f>'Human Operation Desktop'!AQ91</f>
        <v>0</v>
      </c>
      <c r="T118" s="44" t="n">
        <f>IF(AND(S118&gt;0,OR(R118="PENDING",R118="WAITING_FOR_HUMAN",R118="NEEDS_REPLAN")),MAX(0,INT(TODAY()-S118)),0)</f>
        <v>0</v>
      </c>
    </row>
    <row r="119" ht="20" customHeight="1">
      <c r="R119" s="43" t="n">
        <f>'Human Operation Desktop'!I92</f>
        <v>0</v>
      </c>
      <c r="S119" s="43" t="n">
        <f>'Human Operation Desktop'!AQ92</f>
        <v>0</v>
      </c>
      <c r="T119" s="43" t="n">
        <f>IF(AND(S119&gt;0,OR(R119="PENDING",R119="WAITING_FOR_HUMAN",R119="NEEDS_REPLAN")),MAX(0,INT(TODAY()-S119)),0)</f>
        <v>0</v>
      </c>
    </row>
    <row r="120" ht="20" customHeight="1">
      <c r="R120" s="44" t="n">
        <f>'Human Operation Desktop'!I93</f>
        <v>0</v>
      </c>
      <c r="S120" s="44" t="n">
        <f>'Human Operation Desktop'!AQ93</f>
        <v>0</v>
      </c>
      <c r="T120" s="44" t="n">
        <f>IF(AND(S120&gt;0,OR(R120="PENDING",R120="WAITING_FOR_HUMAN",R120="NEEDS_REPLAN")),MAX(0,INT(TODAY()-S120)),0)</f>
        <v>0</v>
      </c>
    </row>
    <row r="121" ht="20" customHeight="1">
      <c r="R121" s="43" t="n">
        <f>'Human Operation Desktop'!I94</f>
        <v>0</v>
      </c>
      <c r="S121" s="43" t="n">
        <f>'Human Operation Desktop'!AQ94</f>
        <v>0</v>
      </c>
      <c r="T121" s="43" t="n">
        <f>IF(AND(S121&gt;0,OR(R121="PENDING",R121="WAITING_FOR_HUMAN",R121="NEEDS_REPLAN")),MAX(0,INT(TODAY()-S121)),0)</f>
        <v>0</v>
      </c>
    </row>
    <row r="122" ht="20" customHeight="1">
      <c r="R122" s="44" t="n">
        <f>'Human Operation Desktop'!I95</f>
        <v>0</v>
      </c>
      <c r="S122" s="44" t="n">
        <f>'Human Operation Desktop'!AQ95</f>
        <v>0</v>
      </c>
      <c r="T122" s="44" t="n">
        <f>IF(AND(S122&gt;0,OR(R122="PENDING",R122="WAITING_FOR_HUMAN",R122="NEEDS_REPLAN")),MAX(0,INT(TODAY()-S122)),0)</f>
        <v>0</v>
      </c>
    </row>
    <row r="123" ht="20" customHeight="1">
      <c r="R123" s="43" t="n">
        <f>'Human Operation Desktop'!I96</f>
        <v>0</v>
      </c>
      <c r="S123" s="43" t="n">
        <f>'Human Operation Desktop'!AQ96</f>
        <v>0</v>
      </c>
      <c r="T123" s="43" t="n">
        <f>IF(AND(S123&gt;0,OR(R123="PENDING",R123="WAITING_FOR_HUMAN",R123="NEEDS_REPLAN")),MAX(0,INT(TODAY()-S123)),0)</f>
        <v>0</v>
      </c>
    </row>
    <row r="124" ht="20" customHeight="1">
      <c r="R124" s="44" t="n">
        <f>'Human Operation Desktop'!I97</f>
        <v>0</v>
      </c>
      <c r="S124" s="44" t="n">
        <f>'Human Operation Desktop'!AQ97</f>
        <v>0</v>
      </c>
      <c r="T124" s="44" t="n">
        <f>IF(AND(S124&gt;0,OR(R124="PENDING",R124="WAITING_FOR_HUMAN",R124="NEEDS_REPLAN")),MAX(0,INT(TODAY()-S124)),0)</f>
        <v>0</v>
      </c>
    </row>
    <row r="125" ht="20" customHeight="1">
      <c r="R125" s="43" t="n">
        <f>'Human Operation Desktop'!I98</f>
        <v>0</v>
      </c>
      <c r="S125" s="43" t="n">
        <f>'Human Operation Desktop'!AQ98</f>
        <v>0</v>
      </c>
      <c r="T125" s="43" t="n">
        <f>IF(AND(S125&gt;0,OR(R125="PENDING",R125="WAITING_FOR_HUMAN",R125="NEEDS_REPLAN")),MAX(0,INT(TODAY()-S125)),0)</f>
        <v>0</v>
      </c>
    </row>
    <row r="126" ht="20" customHeight="1">
      <c r="R126" s="44" t="n">
        <f>'Human Operation Desktop'!I99</f>
        <v>0</v>
      </c>
      <c r="S126" s="44" t="n">
        <f>'Human Operation Desktop'!AQ99</f>
        <v>0</v>
      </c>
      <c r="T126" s="44" t="n">
        <f>IF(AND(S126&gt;0,OR(R126="PENDING",R126="WAITING_FOR_HUMAN",R126="NEEDS_REPLAN")),MAX(0,INT(TODAY()-S126)),0)</f>
        <v>0</v>
      </c>
    </row>
    <row r="127" ht="20" customHeight="1">
      <c r="R127" s="43" t="n">
        <f>'Human Operation Desktop'!I100</f>
        <v>0</v>
      </c>
      <c r="S127" s="43" t="n">
        <f>'Human Operation Desktop'!AQ100</f>
        <v>0</v>
      </c>
      <c r="T127" s="43" t="n">
        <f>IF(AND(S127&gt;0,OR(R127="PENDING",R127="WAITING_FOR_HUMAN",R127="NEEDS_REPLAN")),MAX(0,INT(TODAY()-S127)),0)</f>
        <v>0</v>
      </c>
    </row>
    <row r="128" ht="20" customHeight="1">
      <c r="R128" s="44" t="n">
        <f>'Human Operation Desktop'!I101</f>
        <v>0</v>
      </c>
      <c r="S128" s="44" t="n">
        <f>'Human Operation Desktop'!AQ101</f>
        <v>0</v>
      </c>
      <c r="T128" s="44" t="n">
        <f>IF(AND(S128&gt;0,OR(R128="PENDING",R128="WAITING_FOR_HUMAN",R128="NEEDS_REPLAN")),MAX(0,INT(TODAY()-S128)),0)</f>
        <v>0</v>
      </c>
    </row>
    <row r="129" ht="20" customHeight="1">
      <c r="R129" s="43" t="n">
        <f>'Human Operation Desktop'!I102</f>
        <v>0</v>
      </c>
      <c r="S129" s="43" t="n">
        <f>'Human Operation Desktop'!AQ102</f>
        <v>0</v>
      </c>
      <c r="T129" s="43" t="n">
        <f>IF(AND(S129&gt;0,OR(R129="PENDING",R129="WAITING_FOR_HUMAN",R129="NEEDS_REPLAN")),MAX(0,INT(TODAY()-S129)),0)</f>
        <v>0</v>
      </c>
    </row>
    <row r="130" ht="20" customHeight="1">
      <c r="R130" s="44" t="n">
        <f>'Human Operation Desktop'!I103</f>
        <v>0</v>
      </c>
      <c r="S130" s="44" t="n">
        <f>'Human Operation Desktop'!AQ103</f>
        <v>0</v>
      </c>
      <c r="T130" s="44" t="n">
        <f>IF(AND(S130&gt;0,OR(R130="PENDING",R130="WAITING_FOR_HUMAN",R130="NEEDS_REPLAN")),MAX(0,INT(TODAY()-S130)),0)</f>
        <v>0</v>
      </c>
    </row>
    <row r="131" ht="34" customHeight="1"/>
    <row r="132" ht="34" customHeight="1"/>
    <row r="133" ht="34" customHeight="1"/>
    <row r="134" ht="34" customHeight="1"/>
    <row r="135" ht="34" customHeight="1"/>
    <row r="136" ht="34" customHeight="1"/>
    <row r="137" ht="34" customHeight="1"/>
    <row r="138" ht="34" customHeight="1"/>
    <row r="139" ht="34" customHeight="1"/>
    <row r="140" ht="34" customHeight="1"/>
    <row r="141" ht="34" customHeight="1"/>
    <row r="142" ht="34" customHeight="1"/>
    <row r="143" ht="34" customHeight="1"/>
    <row r="144" ht="34" customHeight="1"/>
    <row r="145" ht="34" customHeight="1"/>
    <row r="146" ht="34" customHeight="1"/>
    <row r="147" ht="34" customHeight="1"/>
    <row r="148" ht="34" customHeight="1"/>
    <row r="149" ht="34" customHeight="1"/>
    <row r="150" ht="34" customHeight="1"/>
    <row r="151" ht="34" customHeight="1"/>
    <row r="152" ht="34" customHeight="1"/>
    <row r="153" ht="34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61">
    <mergeCell ref="A42:P42"/>
    <mergeCell ref="D27:F27"/>
    <mergeCell ref="I1:L1"/>
    <mergeCell ref="L7:P7"/>
    <mergeCell ref="G35:P35"/>
    <mergeCell ref="G27:H27"/>
    <mergeCell ref="A5:B6"/>
    <mergeCell ref="A27:C27"/>
    <mergeCell ref="I29:L29"/>
    <mergeCell ref="M32:P32"/>
    <mergeCell ref="A1:H1"/>
    <mergeCell ref="M29:P29"/>
    <mergeCell ref="K23:L24"/>
    <mergeCell ref="K12:P12"/>
    <mergeCell ref="C4:D4"/>
    <mergeCell ref="I26:P26"/>
    <mergeCell ref="D28:F28"/>
    <mergeCell ref="A7:B7"/>
    <mergeCell ref="I31:L31"/>
    <mergeCell ref="E5:G6"/>
    <mergeCell ref="M23:N24"/>
    <mergeCell ref="O23:P24"/>
    <mergeCell ref="I30:L30"/>
    <mergeCell ref="G28:H28"/>
    <mergeCell ref="I2:L2"/>
    <mergeCell ref="A29:C29"/>
    <mergeCell ref="K22:L22"/>
    <mergeCell ref="D30:F30"/>
    <mergeCell ref="E7:G7"/>
    <mergeCell ref="M22:N22"/>
    <mergeCell ref="I27:L27"/>
    <mergeCell ref="O22:P22"/>
    <mergeCell ref="H4:K4"/>
    <mergeCell ref="A28:C28"/>
    <mergeCell ref="L4:P4"/>
    <mergeCell ref="A26:H26"/>
    <mergeCell ref="D29:F29"/>
    <mergeCell ref="G30:H30"/>
    <mergeCell ref="M1:P1"/>
    <mergeCell ref="A2:H2"/>
    <mergeCell ref="A31:C31"/>
    <mergeCell ref="C5:D6"/>
    <mergeCell ref="I32:L32"/>
    <mergeCell ref="M2:P2"/>
    <mergeCell ref="A30:C30"/>
    <mergeCell ref="A4:B4"/>
    <mergeCell ref="H5:K6"/>
    <mergeCell ref="I28:L28"/>
    <mergeCell ref="G29:H29"/>
    <mergeCell ref="M31:P31"/>
    <mergeCell ref="C7:D7"/>
    <mergeCell ref="D31:F31"/>
    <mergeCell ref="M30:P30"/>
    <mergeCell ref="A9:P10"/>
    <mergeCell ref="A12:J12"/>
    <mergeCell ref="E4:G4"/>
    <mergeCell ref="G31:H31"/>
    <mergeCell ref="H7:K7"/>
    <mergeCell ref="M28:P28"/>
    <mergeCell ref="L5:P6"/>
    <mergeCell ref="M27:P27"/>
  </mergeCells>
  <conditionalFormatting sqref="A46:C47">
    <cfRule type="containsText" priority="4" operator="containsText" dxfId="2" text="YES"/>
  </conditionalFormatting>
  <conditionalFormatting sqref="A28:H31">
    <cfRule type="expression" priority="7" dxfId="28">
      <formula>$A28="SUCCESS"</formula>
    </cfRule>
    <cfRule type="expression" priority="8" dxfId="32">
      <formula>$A28="NOT_RUN"</formula>
    </cfRule>
    <cfRule type="expression" priority="9" dxfId="25">
      <formula>$A28="PAYWALL_BLOCKED"</formula>
    </cfRule>
    <cfRule type="expression" priority="10" dxfId="26">
      <formula>$A28="FAIL"</formula>
    </cfRule>
  </conditionalFormatting>
  <conditionalFormatting sqref="A49:K50">
    <cfRule type="containsText" priority="1" operator="containsText" dxfId="1" text="REVIEW OVERDUE"/>
  </conditionalFormatting>
  <conditionalFormatting sqref="A9:P10">
    <cfRule type="expression" priority="5" dxfId="28">
      <formula>$H$5=0</formula>
    </cfRule>
    <cfRule type="expression" priority="6" dxfId="26">
      <formula>$S$17&gt;60</formula>
    </cfRule>
  </conditionalFormatting>
  <conditionalFormatting sqref="F36:F40">
    <cfRule type="expression" priority="11" dxfId="26">
      <formula>$F36="NEEDS_REPLAN"</formula>
    </cfRule>
    <cfRule type="expression" priority="12" dxfId="25">
      <formula>$F36="WAITING_FOR_HUMAN"</formula>
    </cfRule>
    <cfRule type="expression" priority="13" dxfId="24">
      <formula>$F36="PENDING"</formula>
    </cfRule>
  </conditionalFormatting>
  <conditionalFormatting sqref="J54:J153">
    <cfRule type="containsText" priority="2" operator="containsText" dxfId="1" text="OVERDUE"/>
    <cfRule type="containsText" priority="3" operator="containsText" dxfId="2" text="OPEN"/>
  </conditionalFormatting>
  <dataValidations count="2">
    <dataValidation sqref="A46:C47" showDropDown="0" showInputMessage="0" showErrorMessage="0" allowBlank="0" type="list">
      <formula1>"NO,YES"</formula1>
    </dataValidation>
    <dataValidation sqref="E46:G47" showDropDown="0" showInputMessage="0" showErrorMessage="0" allowBlank="0">
      <formula1>1</formula1>
      <formula2>20</formula2>
    </dataValidation>
  </dataValidation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502"/>
  <sheetViews>
    <sheetView showGridLines="0" tabSelected="0" workbookViewId="0">
      <pane ySplit="2" topLeftCell="A55" activePane="bottomLeft" state="frozen"/>
      <selection activeCell="U1" sqref="U1:U1048576"/>
      <selection pane="bottomLeft" activeCell="U1" sqref="U1:U1048576"/>
    </sheetView>
  </sheetViews>
  <sheetFormatPr baseColWidth="10" defaultColWidth="8.83203125" defaultRowHeight="14"/>
  <cols>
    <col width="12" customWidth="1" min="1" max="1"/>
    <col width="44" customWidth="1" min="2" max="2"/>
    <col width="22" customWidth="1" min="3" max="3"/>
    <col width="44" customWidth="1" min="4" max="4"/>
    <col width="48" customWidth="1" min="5" max="5"/>
    <col width="16" customWidth="1" min="6" max="6"/>
    <col width="22" customWidth="1" min="7" max="7"/>
    <col width="30" customWidth="1" min="8" max="8"/>
    <col width="16" customWidth="1" min="9" max="9"/>
    <col width="39.6640625" customWidth="1" min="10" max="10"/>
    <col hidden="1" width="16" customWidth="1" min="11" max="11"/>
    <col hidden="1" width="25.6640625" customWidth="1" min="12" max="12"/>
    <col hidden="1" width="3" customWidth="1" min="13" max="13"/>
    <col hidden="1" width="13" customWidth="1" min="14" max="4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</cols>
  <sheetData>
    <row r="1" ht="28" customHeight="1">
      <c r="A1" s="62" t="inlineStr">
        <is>
          <t>OPERATOR WORK QUEUE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5" t="n"/>
      <c r="K1" s="57" t="inlineStr">
        <is>
          <t>SOURCE CORRECTIONS | UNHIDE ONLY WHEN REQUESTED</t>
        </is>
      </c>
      <c r="L1" s="54" t="n"/>
      <c r="M1" s="54" t="n"/>
      <c r="N1" s="54" t="n"/>
      <c r="O1" s="54" t="n"/>
      <c r="P1" s="54" t="n"/>
      <c r="Q1" s="54" t="n"/>
      <c r="R1" s="54" t="n"/>
      <c r="S1" s="54" t="n"/>
      <c r="T1" s="54" t="n"/>
      <c r="U1" s="54" t="n"/>
      <c r="V1" s="55" t="n"/>
      <c r="W1" s="57" t="inlineStr">
        <is>
          <t>CANDIDATE DETAILS | UNHIDE ONLY FOR NEW SOURCES</t>
        </is>
      </c>
      <c r="X1" s="54" t="n"/>
      <c r="Y1" s="54" t="n"/>
      <c r="Z1" s="54" t="n"/>
      <c r="AA1" s="54" t="n"/>
      <c r="AB1" s="54" t="n"/>
      <c r="AC1" s="54" t="n"/>
      <c r="AD1" s="54" t="n"/>
      <c r="AE1" s="54" t="n"/>
      <c r="AF1" s="54" t="n"/>
      <c r="AG1" s="54" t="n"/>
      <c r="AH1" s="54" t="n"/>
      <c r="AI1" s="54" t="n"/>
      <c r="AJ1" s="54" t="n"/>
      <c r="AK1" s="54" t="n"/>
      <c r="AL1" s="54" t="n"/>
      <c r="AM1" s="55" t="n"/>
      <c r="AN1" s="57" t="inlineStr">
        <is>
          <t>PROGRAM SUPPORT | DO NOT EDIT</t>
        </is>
      </c>
      <c r="AO1" s="54" t="n"/>
      <c r="AP1" s="54" t="n"/>
      <c r="AQ1" s="54" t="n"/>
      <c r="AR1" s="55" t="n"/>
    </row>
    <row r="2" ht="26" customHeight="1">
      <c r="A2" s="64" t="inlineStr">
        <is>
          <t>source_id</t>
        </is>
      </c>
      <c r="B2" s="64" t="inlineStr">
        <is>
          <t>source_title</t>
        </is>
      </c>
      <c r="C2" s="64" t="inlineStr">
        <is>
          <t>task_type</t>
        </is>
      </c>
      <c r="D2" s="64" t="inlineStr">
        <is>
          <t>issue_summary</t>
        </is>
      </c>
      <c r="E2" s="64" t="inlineStr">
        <is>
          <t>requested_action</t>
        </is>
      </c>
      <c r="F2" s="64" t="inlineStr">
        <is>
          <t>operator_action</t>
        </is>
      </c>
      <c r="G2" s="64" t="inlineStr">
        <is>
          <t>operator</t>
        </is>
      </c>
      <c r="H2" s="64" t="inlineStr">
        <is>
          <t>operator_note</t>
        </is>
      </c>
      <c r="I2" s="64" t="inlineStr">
        <is>
          <t>program_status</t>
        </is>
      </c>
      <c r="J2" s="70" t="inlineStr">
        <is>
          <t>program_result</t>
        </is>
      </c>
      <c r="K2" s="70" t="inlineStr">
        <is>
          <t>official_url</t>
        </is>
      </c>
      <c r="L2" s="70" t="inlineStr">
        <is>
          <t>retrieval_url</t>
        </is>
      </c>
      <c r="M2" s="70" t="inlineStr">
        <is>
          <t>authority_quality</t>
        </is>
      </c>
      <c r="N2" s="70" t="inlineStr">
        <is>
          <t>scope_relevance</t>
        </is>
      </c>
      <c r="O2" s="70" t="inlineStr">
        <is>
          <t>version_currency</t>
        </is>
      </c>
      <c r="P2" s="70" t="inlineStr">
        <is>
          <t>traceability</t>
        </is>
      </c>
      <c r="Q2" s="70" t="inlineStr">
        <is>
          <t>access_permission</t>
        </is>
      </c>
      <c r="R2" s="70" t="inlineStr">
        <is>
          <t>operator_selection_decision</t>
        </is>
      </c>
      <c r="S2" s="70" t="inlineStr">
        <is>
          <t>applicability_reference</t>
        </is>
      </c>
      <c r="T2" s="70" t="inlineStr">
        <is>
          <t>source_status</t>
        </is>
      </c>
      <c r="U2" s="70" t="inlineStr">
        <is>
          <t>primary_source_id</t>
        </is>
      </c>
      <c r="V2" s="70" t="inlineStr">
        <is>
          <t>source_notes</t>
        </is>
      </c>
      <c r="W2" s="70" t="inlineStr">
        <is>
          <t>intake_file</t>
        </is>
      </c>
      <c r="X2" s="70" t="inlineStr">
        <is>
          <t>folder_code</t>
        </is>
      </c>
      <c r="Y2" s="70" t="inlineStr">
        <is>
          <t>issuer</t>
        </is>
      </c>
      <c r="Z2" s="70" t="inlineStr">
        <is>
          <t>jurisdiction</t>
        </is>
      </c>
      <c r="AA2" s="70" t="inlineStr">
        <is>
          <t>document_type</t>
        </is>
      </c>
      <c r="AB2" s="70" t="inlineStr">
        <is>
          <t>source_family</t>
        </is>
      </c>
      <c r="AC2" s="70" t="inlineStr">
        <is>
          <t>requirement_role</t>
        </is>
      </c>
      <c r="AD2" s="70" t="inlineStr">
        <is>
          <t>authoritative_language</t>
        </is>
      </c>
      <c r="AE2" s="70" t="inlineStr">
        <is>
          <t>file_format</t>
        </is>
      </c>
      <c r="AF2" s="70" t="inlineStr">
        <is>
          <t>version</t>
        </is>
      </c>
      <c r="AG2" s="70" t="inlineStr">
        <is>
          <t>effective_date</t>
        </is>
      </c>
      <c r="AH2" s="70" t="inlineStr">
        <is>
          <t>inclusion_rationale</t>
        </is>
      </c>
      <c r="AI2" s="70" t="inlineStr">
        <is>
          <t>automation_readiness</t>
        </is>
      </c>
      <c r="AJ2" s="70" t="inlineStr">
        <is>
          <t>acquisition_channel</t>
        </is>
      </c>
      <c r="AK2" s="70" t="inlineStr">
        <is>
          <t>provenance_status</t>
        </is>
      </c>
      <c r="AL2" s="70" t="inlineStr">
        <is>
          <t>update_model</t>
        </is>
      </c>
      <c r="AM2" s="70" t="inlineStr">
        <is>
          <t>candidate_origin</t>
        </is>
      </c>
      <c r="AN2" s="70" t="inlineStr">
        <is>
          <t>operation_id</t>
        </is>
      </c>
      <c r="AO2" s="70" t="inlineStr">
        <is>
          <t>checked_at</t>
        </is>
      </c>
      <c r="AP2" s="70" t="inlineStr">
        <is>
          <t>program_operated_at</t>
        </is>
      </c>
      <c r="AQ2" s="70" t="inlineStr">
        <is>
          <t>created_at</t>
        </is>
      </c>
      <c r="AR2" s="70" t="inlineStr">
        <is>
          <t>payload_json</t>
        </is>
      </c>
    </row>
    <row r="3" hidden="1" ht="24" customHeight="1">
      <c r="A3" s="56" t="n"/>
      <c r="B3" s="56" t="n"/>
      <c r="C3" s="56" t="n"/>
      <c r="D3" s="56" t="n"/>
      <c r="E3" s="56" t="n"/>
      <c r="F3" s="39" t="n"/>
      <c r="G3" s="25" t="n"/>
      <c r="H3" s="26" t="n"/>
      <c r="I3" s="56" t="n"/>
      <c r="J3" s="56" t="n"/>
      <c r="K3" s="43" t="n"/>
      <c r="L3" s="43" t="n"/>
      <c r="M3" s="43" t="n"/>
      <c r="N3" s="43" t="n"/>
      <c r="O3" s="43" t="n"/>
      <c r="P3" s="43" t="n"/>
      <c r="Q3" s="43" t="n"/>
      <c r="R3" s="43" t="n"/>
      <c r="T3" s="43" t="n"/>
      <c r="U3" s="43" t="n"/>
      <c r="V3" s="43" t="n"/>
      <c r="X3" s="43" t="n"/>
      <c r="Y3" s="43" t="n"/>
      <c r="Z3" s="43" t="n"/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N3" s="43" t="n"/>
      <c r="AO3" s="84" t="n"/>
      <c r="AP3" s="72" t="n"/>
      <c r="AQ3" s="72" t="n"/>
      <c r="AR3" s="43" t="n"/>
    </row>
    <row r="4" hidden="1" ht="24" customHeight="1">
      <c r="A4" s="53" t="n"/>
      <c r="B4" s="53" t="n"/>
      <c r="C4" s="53" t="n"/>
      <c r="D4" s="53" t="n"/>
      <c r="E4" s="53" t="n"/>
      <c r="F4" s="39" t="n"/>
      <c r="G4" s="25" t="n"/>
      <c r="H4" s="26" t="n"/>
      <c r="I4" s="53" t="n"/>
      <c r="J4" s="53" t="n"/>
      <c r="K4" s="44" t="n"/>
      <c r="L4" s="44" t="n"/>
      <c r="M4" s="44" t="n"/>
      <c r="N4" s="44" t="n"/>
      <c r="O4" s="44" t="n"/>
      <c r="P4" s="44" t="n"/>
      <c r="Q4" s="44" t="n"/>
      <c r="R4" s="44" t="n"/>
      <c r="T4" s="44" t="n"/>
      <c r="U4" s="44" t="n"/>
      <c r="V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4" t="n"/>
      <c r="AK4" s="44" t="n"/>
      <c r="AL4" s="44" t="n"/>
      <c r="AN4" s="44" t="n"/>
      <c r="AO4" s="84" t="n"/>
      <c r="AP4" s="74" t="n"/>
      <c r="AQ4" s="74" t="n"/>
      <c r="AR4" s="44" t="n"/>
    </row>
    <row r="5" hidden="1" ht="24" customHeight="1">
      <c r="A5" s="56" t="n"/>
      <c r="B5" s="56" t="n"/>
      <c r="C5" s="56" t="n"/>
      <c r="D5" s="56" t="n"/>
      <c r="E5" s="56" t="n"/>
      <c r="F5" s="39" t="n"/>
      <c r="G5" s="25" t="n"/>
      <c r="H5" s="26" t="n"/>
      <c r="I5" s="56" t="n"/>
      <c r="J5" s="56" t="n"/>
      <c r="K5" s="43" t="n"/>
      <c r="L5" s="43" t="n"/>
      <c r="M5" s="43" t="n"/>
      <c r="N5" s="43" t="n"/>
      <c r="O5" s="43" t="n"/>
      <c r="P5" s="43" t="n"/>
      <c r="Q5" s="43" t="n"/>
      <c r="R5" s="43" t="n"/>
      <c r="T5" s="43" t="n"/>
      <c r="V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H5" s="43" t="n"/>
      <c r="AI5" s="43" t="n"/>
      <c r="AJ5" s="43" t="n"/>
      <c r="AK5" s="43" t="n"/>
      <c r="AL5" s="43" t="n"/>
      <c r="AN5" s="43" t="n"/>
      <c r="AO5" s="84" t="n"/>
      <c r="AP5" s="72" t="n"/>
      <c r="AQ5" s="72" t="n"/>
      <c r="AR5" s="43" t="n"/>
    </row>
    <row r="6" hidden="1" ht="24" customHeight="1">
      <c r="A6" s="53" t="n"/>
      <c r="B6" s="53" t="n"/>
      <c r="C6" s="53" t="n"/>
      <c r="D6" s="53" t="n"/>
      <c r="E6" s="53" t="n"/>
      <c r="F6" s="39" t="n"/>
      <c r="G6" s="25" t="n"/>
      <c r="H6" s="26" t="n"/>
      <c r="I6" s="53" t="n"/>
      <c r="J6" s="53" t="n"/>
      <c r="K6" s="44" t="n"/>
      <c r="L6" s="44" t="n"/>
      <c r="M6" s="44" t="n"/>
      <c r="N6" s="44" t="n"/>
      <c r="O6" s="44" t="n"/>
      <c r="P6" s="44" t="n"/>
      <c r="Q6" s="44" t="n"/>
      <c r="R6" s="44" t="n"/>
      <c r="T6" s="44" t="n"/>
      <c r="V6" s="44" t="n"/>
      <c r="X6" s="44" t="n"/>
      <c r="Y6" s="44" t="n"/>
      <c r="Z6" s="44" t="n"/>
      <c r="AA6" s="44" t="n"/>
      <c r="AB6" s="44" t="n"/>
      <c r="AC6" s="44" t="n"/>
      <c r="AD6" s="44" t="n"/>
      <c r="AE6" s="44" t="n"/>
      <c r="AH6" s="44" t="n"/>
      <c r="AI6" s="44" t="n"/>
      <c r="AJ6" s="44" t="n"/>
      <c r="AK6" s="44" t="n"/>
      <c r="AL6" s="44" t="n"/>
      <c r="AN6" s="44" t="n"/>
      <c r="AO6" s="84" t="n"/>
      <c r="AP6" s="74" t="n"/>
      <c r="AQ6" s="74" t="n"/>
      <c r="AR6" s="44" t="n"/>
    </row>
    <row r="7" hidden="1" ht="24" customHeight="1">
      <c r="A7" s="56" t="n"/>
      <c r="B7" s="56" t="n"/>
      <c r="C7" s="56" t="n"/>
      <c r="D7" s="56" t="n"/>
      <c r="E7" s="56" t="n"/>
      <c r="F7" s="39" t="n"/>
      <c r="G7" s="25" t="n"/>
      <c r="H7" s="26" t="n"/>
      <c r="I7" s="56" t="n"/>
      <c r="J7" s="56" t="n"/>
      <c r="K7" s="43" t="n"/>
      <c r="L7" s="43" t="n"/>
      <c r="M7" s="43" t="n"/>
      <c r="N7" s="43" t="n"/>
      <c r="O7" s="43" t="n"/>
      <c r="P7" s="43" t="n"/>
      <c r="Q7" s="43" t="n"/>
      <c r="R7" s="43" t="n"/>
      <c r="T7" s="43" t="n"/>
      <c r="V7" s="43" t="n"/>
      <c r="X7" s="43" t="n"/>
      <c r="Y7" s="43" t="n"/>
      <c r="Z7" s="43" t="n"/>
      <c r="AA7" s="43" t="n"/>
      <c r="AB7" s="43" t="n"/>
      <c r="AC7" s="43" t="n"/>
      <c r="AD7" s="43" t="n"/>
      <c r="AE7" s="43" t="n"/>
      <c r="AH7" s="43" t="n"/>
      <c r="AI7" s="43" t="n"/>
      <c r="AJ7" s="43" t="n"/>
      <c r="AK7" s="43" t="n"/>
      <c r="AL7" s="43" t="n"/>
      <c r="AN7" s="43" t="n"/>
      <c r="AO7" s="84" t="n"/>
      <c r="AP7" s="72" t="n"/>
      <c r="AQ7" s="72" t="n"/>
      <c r="AR7" s="43" t="n"/>
    </row>
    <row r="8" hidden="1" ht="24" customHeight="1">
      <c r="A8" s="53" t="n"/>
      <c r="B8" s="53" t="n"/>
      <c r="C8" s="53" t="n"/>
      <c r="D8" s="53" t="n"/>
      <c r="E8" s="53" t="n"/>
      <c r="F8" s="39" t="n"/>
      <c r="G8" s="25" t="n"/>
      <c r="H8" s="26" t="n"/>
      <c r="I8" s="53" t="n"/>
      <c r="J8" s="53" t="n"/>
      <c r="K8" s="44" t="n"/>
      <c r="L8" s="44" t="n"/>
      <c r="M8" s="44" t="n"/>
      <c r="N8" s="44" t="n"/>
      <c r="O8" s="44" t="n"/>
      <c r="P8" s="44" t="n"/>
      <c r="Q8" s="44" t="n"/>
      <c r="R8" s="44" t="n"/>
      <c r="T8" s="44" t="n"/>
      <c r="V8" s="44" t="n"/>
      <c r="X8" s="44" t="n"/>
      <c r="Y8" s="44" t="n"/>
      <c r="Z8" s="44" t="n"/>
      <c r="AA8" s="44" t="n"/>
      <c r="AB8" s="44" t="n"/>
      <c r="AC8" s="44" t="n"/>
      <c r="AD8" s="44" t="n"/>
      <c r="AE8" s="44" t="n"/>
      <c r="AH8" s="44" t="n"/>
      <c r="AI8" s="44" t="n"/>
      <c r="AJ8" s="44" t="n"/>
      <c r="AK8" s="44" t="n"/>
      <c r="AL8" s="44" t="n"/>
      <c r="AN8" s="44" t="n"/>
      <c r="AO8" s="84" t="n"/>
      <c r="AP8" s="74" t="n"/>
      <c r="AQ8" s="74" t="n"/>
      <c r="AR8" s="44" t="n"/>
    </row>
    <row r="9" hidden="1" ht="24" customHeight="1">
      <c r="A9" s="56" t="n"/>
      <c r="B9" s="56" t="n"/>
      <c r="C9" s="56" t="n"/>
      <c r="D9" s="56" t="n"/>
      <c r="E9" s="56" t="n"/>
      <c r="F9" s="39" t="n"/>
      <c r="G9" s="25" t="n"/>
      <c r="H9" s="26" t="n"/>
      <c r="I9" s="56" t="n"/>
      <c r="J9" s="56" t="n"/>
      <c r="K9" s="43" t="n"/>
      <c r="L9" s="43" t="n"/>
      <c r="M9" s="43" t="n"/>
      <c r="N9" s="43" t="n"/>
      <c r="O9" s="43" t="n"/>
      <c r="P9" s="43" t="n"/>
      <c r="Q9" s="43" t="n"/>
      <c r="R9" s="43" t="n"/>
      <c r="T9" s="43" t="n"/>
      <c r="V9" s="43" t="n"/>
      <c r="X9" s="43" t="n"/>
      <c r="Y9" s="43" t="n"/>
      <c r="Z9" s="43" t="n"/>
      <c r="AA9" s="43" t="n"/>
      <c r="AB9" s="43" t="n"/>
      <c r="AC9" s="43" t="n"/>
      <c r="AD9" s="43" t="n"/>
      <c r="AE9" s="43" t="n"/>
      <c r="AH9" s="43" t="n"/>
      <c r="AI9" s="43" t="n"/>
      <c r="AJ9" s="43" t="n"/>
      <c r="AK9" s="43" t="n"/>
      <c r="AL9" s="43" t="n"/>
      <c r="AN9" s="43" t="n"/>
      <c r="AO9" s="84" t="n"/>
      <c r="AP9" s="72" t="n"/>
      <c r="AQ9" s="72" t="n"/>
      <c r="AR9" s="43" t="n"/>
    </row>
    <row r="10" hidden="1" ht="24" customHeight="1">
      <c r="A10" s="53" t="n"/>
      <c r="B10" s="53" t="n"/>
      <c r="C10" s="53" t="n"/>
      <c r="D10" s="53" t="n"/>
      <c r="E10" s="53" t="n"/>
      <c r="F10" s="39" t="n"/>
      <c r="G10" s="25" t="n"/>
      <c r="H10" s="26" t="n"/>
      <c r="I10" s="53" t="n"/>
      <c r="J10" s="53" t="n"/>
      <c r="K10" s="44" t="n"/>
      <c r="L10" s="44" t="n"/>
      <c r="M10" s="44" t="n"/>
      <c r="N10" s="44" t="n"/>
      <c r="O10" s="44" t="n"/>
      <c r="P10" s="44" t="n"/>
      <c r="Q10" s="44" t="n"/>
      <c r="R10" s="44" t="n"/>
      <c r="T10" s="44" t="n"/>
      <c r="V10" s="44" t="n"/>
      <c r="X10" s="44" t="n"/>
      <c r="Y10" s="44" t="n"/>
      <c r="Z10" s="44" t="n"/>
      <c r="AA10" s="44" t="n"/>
      <c r="AB10" s="44" t="n"/>
      <c r="AC10" s="44" t="n"/>
      <c r="AD10" s="44" t="n"/>
      <c r="AE10" s="44" t="n"/>
      <c r="AH10" s="44" t="n"/>
      <c r="AI10" s="44" t="n"/>
      <c r="AJ10" s="44" t="n"/>
      <c r="AK10" s="44" t="n"/>
      <c r="AL10" s="44" t="n"/>
      <c r="AN10" s="44" t="n"/>
      <c r="AO10" s="84" t="n"/>
      <c r="AP10" s="74" t="n"/>
      <c r="AQ10" s="74" t="n"/>
      <c r="AR10" s="44" t="n"/>
    </row>
    <row r="11" hidden="1" ht="24" customHeight="1">
      <c r="A11" s="56" t="n"/>
      <c r="B11" s="56" t="n"/>
      <c r="C11" s="56" t="n"/>
      <c r="D11" s="56" t="n"/>
      <c r="E11" s="56" t="n"/>
      <c r="F11" s="39" t="n"/>
      <c r="G11" s="25" t="n"/>
      <c r="H11" s="26" t="n"/>
      <c r="I11" s="56" t="n"/>
      <c r="J11" s="56" t="n"/>
      <c r="K11" s="43" t="n"/>
      <c r="L11" s="43" t="n"/>
      <c r="M11" s="43" t="n"/>
      <c r="N11" s="43" t="n"/>
      <c r="O11" s="43" t="n"/>
      <c r="P11" s="43" t="n"/>
      <c r="Q11" s="43" t="n"/>
      <c r="R11" s="43" t="n"/>
      <c r="T11" s="43" t="n"/>
      <c r="V11" s="43" t="n"/>
      <c r="X11" s="43" t="n"/>
      <c r="Y11" s="43" t="n"/>
      <c r="Z11" s="43" t="n"/>
      <c r="AA11" s="43" t="n"/>
      <c r="AB11" s="43" t="n"/>
      <c r="AC11" s="43" t="n"/>
      <c r="AD11" s="43" t="n"/>
      <c r="AE11" s="43" t="n"/>
      <c r="AH11" s="43" t="n"/>
      <c r="AI11" s="43" t="n"/>
      <c r="AJ11" s="43" t="n"/>
      <c r="AK11" s="43" t="n"/>
      <c r="AL11" s="43" t="n"/>
      <c r="AN11" s="43" t="n"/>
      <c r="AO11" s="84" t="n"/>
      <c r="AP11" s="72" t="n"/>
      <c r="AQ11" s="72" t="n"/>
      <c r="AR11" s="43" t="n"/>
    </row>
    <row r="12" hidden="1" ht="24" customHeight="1">
      <c r="A12" s="53" t="n"/>
      <c r="B12" s="53" t="n"/>
      <c r="C12" s="53" t="n"/>
      <c r="D12" s="53" t="n"/>
      <c r="E12" s="53" t="n"/>
      <c r="F12" s="39" t="n"/>
      <c r="G12" s="25" t="n"/>
      <c r="H12" s="26" t="n"/>
      <c r="I12" s="53" t="n"/>
      <c r="J12" s="53" t="n"/>
      <c r="K12" s="44" t="n"/>
      <c r="L12" s="44" t="n"/>
      <c r="M12" s="44" t="n"/>
      <c r="N12" s="44" t="n"/>
      <c r="O12" s="44" t="n"/>
      <c r="P12" s="44" t="n"/>
      <c r="Q12" s="44" t="n"/>
      <c r="R12" s="44" t="n"/>
      <c r="T12" s="44" t="n"/>
      <c r="V12" s="44" t="n"/>
      <c r="X12" s="44" t="n"/>
      <c r="Y12" s="44" t="n"/>
      <c r="Z12" s="44" t="n"/>
      <c r="AA12" s="44" t="n"/>
      <c r="AB12" s="44" t="n"/>
      <c r="AC12" s="44" t="n"/>
      <c r="AD12" s="44" t="n"/>
      <c r="AE12" s="44" t="n"/>
      <c r="AH12" s="44" t="n"/>
      <c r="AI12" s="44" t="n"/>
      <c r="AJ12" s="44" t="n"/>
      <c r="AK12" s="44" t="n"/>
      <c r="AL12" s="44" t="n"/>
      <c r="AN12" s="44" t="n"/>
      <c r="AO12" s="84" t="n"/>
      <c r="AP12" s="74" t="n"/>
      <c r="AQ12" s="74" t="n"/>
      <c r="AR12" s="44" t="n"/>
    </row>
    <row r="13" hidden="1" ht="24" customHeight="1">
      <c r="A13" s="56" t="n"/>
      <c r="B13" s="56" t="n"/>
      <c r="C13" s="56" t="n"/>
      <c r="D13" s="56" t="n"/>
      <c r="E13" s="56" t="n"/>
      <c r="F13" s="39" t="n"/>
      <c r="G13" s="25" t="n"/>
      <c r="H13" s="26" t="n"/>
      <c r="I13" s="56" t="n"/>
      <c r="J13" s="56" t="n"/>
      <c r="K13" s="43" t="n"/>
      <c r="L13" s="43" t="n"/>
      <c r="M13" s="43" t="n"/>
      <c r="N13" s="43" t="n"/>
      <c r="O13" s="43" t="n"/>
      <c r="P13" s="43" t="n"/>
      <c r="Q13" s="43" t="n"/>
      <c r="R13" s="43" t="n"/>
      <c r="T13" s="43" t="n"/>
      <c r="U13" s="43" t="n"/>
      <c r="V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H13" s="43" t="n"/>
      <c r="AI13" s="43" t="n"/>
      <c r="AJ13" s="43" t="n"/>
      <c r="AK13" s="43" t="n"/>
      <c r="AL13" s="43" t="n"/>
      <c r="AN13" s="43" t="n"/>
      <c r="AO13" s="84" t="n"/>
      <c r="AP13" s="72" t="n"/>
      <c r="AQ13" s="72" t="n"/>
      <c r="AR13" s="43" t="n"/>
    </row>
    <row r="14" hidden="1" ht="24" customHeight="1">
      <c r="A14" s="53" t="n"/>
      <c r="B14" s="53" t="n"/>
      <c r="C14" s="53" t="n"/>
      <c r="D14" s="53" t="n"/>
      <c r="E14" s="53" t="n"/>
      <c r="F14" s="39" t="n"/>
      <c r="G14" s="25" t="n"/>
      <c r="H14" s="26" t="n"/>
      <c r="I14" s="53" t="n"/>
      <c r="J14" s="53" t="n"/>
      <c r="K14" s="44" t="n"/>
      <c r="L14" s="44" t="n"/>
      <c r="M14" s="44" t="n"/>
      <c r="N14" s="44" t="n"/>
      <c r="O14" s="44" t="n"/>
      <c r="P14" s="44" t="n"/>
      <c r="Q14" s="44" t="n"/>
      <c r="R14" s="44" t="n"/>
      <c r="T14" s="44" t="n"/>
      <c r="V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  <c r="AH14" s="44" t="n"/>
      <c r="AI14" s="44" t="n"/>
      <c r="AJ14" s="44" t="n"/>
      <c r="AK14" s="44" t="n"/>
      <c r="AL14" s="44" t="n"/>
      <c r="AN14" s="44" t="n"/>
      <c r="AO14" s="84" t="n"/>
      <c r="AP14" s="74" t="n"/>
      <c r="AQ14" s="74" t="n"/>
      <c r="AR14" s="44" t="n"/>
    </row>
    <row r="15" hidden="1" ht="24" customHeight="1">
      <c r="A15" s="56" t="n"/>
      <c r="B15" s="56" t="n"/>
      <c r="C15" s="56" t="n"/>
      <c r="D15" s="56" t="n"/>
      <c r="E15" s="56" t="n"/>
      <c r="F15" s="39" t="n"/>
      <c r="G15" s="25" t="n"/>
      <c r="H15" s="26" t="n"/>
      <c r="I15" s="56" t="n"/>
      <c r="J15" s="56" t="n"/>
      <c r="K15" s="43" t="n"/>
      <c r="L15" s="43" t="n"/>
      <c r="M15" s="43" t="n"/>
      <c r="N15" s="43" t="n"/>
      <c r="O15" s="43" t="n"/>
      <c r="P15" s="43" t="n"/>
      <c r="Q15" s="43" t="n"/>
      <c r="R15" s="43" t="n"/>
      <c r="T15" s="43" t="n"/>
      <c r="V15" s="43" t="n"/>
      <c r="X15" s="43" t="n"/>
      <c r="Y15" s="43" t="n"/>
      <c r="Z15" s="43" t="n"/>
      <c r="AA15" s="43" t="n"/>
      <c r="AB15" s="43" t="n"/>
      <c r="AC15" s="43" t="n"/>
      <c r="AD15" s="43" t="n"/>
      <c r="AE15" s="43" t="n"/>
      <c r="AH15" s="43" t="n"/>
      <c r="AI15" s="43" t="n"/>
      <c r="AJ15" s="43" t="n"/>
      <c r="AK15" s="43" t="n"/>
      <c r="AL15" s="43" t="n"/>
      <c r="AN15" s="43" t="n"/>
      <c r="AO15" s="84" t="n"/>
      <c r="AP15" s="72" t="n"/>
      <c r="AQ15" s="72" t="n"/>
      <c r="AR15" s="43" t="n"/>
    </row>
    <row r="16" hidden="1" ht="24" customHeight="1">
      <c r="A16" s="53" t="n"/>
      <c r="B16" s="53" t="n"/>
      <c r="C16" s="53" t="n"/>
      <c r="D16" s="53" t="n"/>
      <c r="E16" s="53" t="n"/>
      <c r="F16" s="39" t="n"/>
      <c r="G16" s="25" t="n"/>
      <c r="H16" s="26" t="n"/>
      <c r="I16" s="53" t="n"/>
      <c r="J16" s="53" t="n"/>
      <c r="K16" s="44" t="n"/>
      <c r="L16" s="44" t="n"/>
      <c r="M16" s="44" t="n"/>
      <c r="N16" s="44" t="n"/>
      <c r="O16" s="44" t="n"/>
      <c r="P16" s="44" t="n"/>
      <c r="Q16" s="44" t="n"/>
      <c r="R16" s="44" t="n"/>
      <c r="T16" s="44" t="n"/>
      <c r="V16" s="44" t="n"/>
      <c r="X16" s="44" t="n"/>
      <c r="Y16" s="44" t="n"/>
      <c r="Z16" s="44" t="n"/>
      <c r="AA16" s="44" t="n"/>
      <c r="AB16" s="44" t="n"/>
      <c r="AC16" s="44" t="n"/>
      <c r="AD16" s="44" t="n"/>
      <c r="AE16" s="44" t="n"/>
      <c r="AH16" s="44" t="n"/>
      <c r="AI16" s="44" t="n"/>
      <c r="AJ16" s="44" t="n"/>
      <c r="AK16" s="44" t="n"/>
      <c r="AL16" s="44" t="n"/>
      <c r="AN16" s="44" t="n"/>
      <c r="AO16" s="84" t="n"/>
      <c r="AP16" s="74" t="n"/>
      <c r="AQ16" s="74" t="n"/>
      <c r="AR16" s="44" t="n"/>
    </row>
    <row r="17" hidden="1" ht="24" customHeight="1">
      <c r="A17" s="56" t="n"/>
      <c r="B17" s="56" t="n"/>
      <c r="C17" s="56" t="n"/>
      <c r="D17" s="56" t="n"/>
      <c r="E17" s="56" t="n"/>
      <c r="F17" s="39" t="n"/>
      <c r="G17" s="25" t="n"/>
      <c r="H17" s="26" t="n"/>
      <c r="I17" s="56" t="n"/>
      <c r="J17" s="56" t="n"/>
      <c r="K17" s="43" t="n"/>
      <c r="L17" s="43" t="n"/>
      <c r="M17" s="43" t="n"/>
      <c r="N17" s="43" t="n"/>
      <c r="O17" s="43" t="n"/>
      <c r="P17" s="43" t="n"/>
      <c r="Q17" s="43" t="n"/>
      <c r="R17" s="43" t="n"/>
      <c r="T17" s="43" t="n"/>
      <c r="V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H17" s="43" t="n"/>
      <c r="AI17" s="43" t="n"/>
      <c r="AJ17" s="43" t="n"/>
      <c r="AK17" s="43" t="n"/>
      <c r="AL17" s="43" t="n"/>
      <c r="AN17" s="43" t="n"/>
      <c r="AO17" s="84" t="n"/>
      <c r="AP17" s="72" t="n"/>
      <c r="AQ17" s="72" t="n"/>
      <c r="AR17" s="43" t="n"/>
    </row>
    <row r="18" hidden="1" ht="24" customHeight="1">
      <c r="A18" s="53" t="n"/>
      <c r="B18" s="53" t="n"/>
      <c r="C18" s="53" t="n"/>
      <c r="D18" s="53" t="n"/>
      <c r="E18" s="53" t="n"/>
      <c r="F18" s="39" t="n"/>
      <c r="G18" s="25" t="n"/>
      <c r="H18" s="26" t="n"/>
      <c r="I18" s="53" t="n"/>
      <c r="J18" s="53" t="n"/>
      <c r="K18" s="44" t="n"/>
      <c r="L18" s="44" t="n"/>
      <c r="M18" s="44" t="n"/>
      <c r="N18" s="44" t="n"/>
      <c r="O18" s="44" t="n"/>
      <c r="P18" s="44" t="n"/>
      <c r="Q18" s="44" t="n"/>
      <c r="R18" s="44" t="n"/>
      <c r="T18" s="44" t="n"/>
      <c r="V18" s="44" t="n"/>
      <c r="X18" s="44" t="n"/>
      <c r="Y18" s="44" t="n"/>
      <c r="Z18" s="44" t="n"/>
      <c r="AA18" s="44" t="n"/>
      <c r="AB18" s="44" t="n"/>
      <c r="AC18" s="44" t="n"/>
      <c r="AD18" s="44" t="n"/>
      <c r="AE18" s="44" t="n"/>
      <c r="AH18" s="44" t="n"/>
      <c r="AI18" s="44" t="n"/>
      <c r="AJ18" s="44" t="n"/>
      <c r="AK18" s="44" t="n"/>
      <c r="AL18" s="44" t="n"/>
      <c r="AN18" s="44" t="n"/>
      <c r="AO18" s="84" t="n"/>
      <c r="AP18" s="74" t="n"/>
      <c r="AQ18" s="74" t="n"/>
      <c r="AR18" s="44" t="n"/>
    </row>
    <row r="19" hidden="1" ht="24" customHeight="1">
      <c r="A19" s="56" t="n"/>
      <c r="B19" s="56" t="n"/>
      <c r="C19" s="56" t="n"/>
      <c r="D19" s="56" t="n"/>
      <c r="E19" s="56" t="n"/>
      <c r="F19" s="39" t="n"/>
      <c r="G19" s="25" t="n"/>
      <c r="H19" s="26" t="n"/>
      <c r="I19" s="56" t="n"/>
      <c r="J19" s="56" t="n"/>
      <c r="K19" s="43" t="n"/>
      <c r="L19" s="43" t="n"/>
      <c r="M19" s="43" t="n"/>
      <c r="N19" s="43" t="n"/>
      <c r="O19" s="43" t="n"/>
      <c r="P19" s="43" t="n"/>
      <c r="Q19" s="43" t="n"/>
      <c r="R19" s="43" t="n"/>
      <c r="T19" s="43" t="n"/>
      <c r="V19" s="43" t="n"/>
      <c r="X19" s="43" t="n"/>
      <c r="Y19" s="43" t="n"/>
      <c r="Z19" s="43" t="n"/>
      <c r="AA19" s="43" t="n"/>
      <c r="AB19" s="43" t="n"/>
      <c r="AC19" s="43" t="n"/>
      <c r="AD19" s="43" t="n"/>
      <c r="AE19" s="43" t="n"/>
      <c r="AH19" s="43" t="n"/>
      <c r="AI19" s="43" t="n"/>
      <c r="AJ19" s="43" t="n"/>
      <c r="AK19" s="43" t="n"/>
      <c r="AL19" s="43" t="n"/>
      <c r="AN19" s="43" t="n"/>
      <c r="AO19" s="84" t="n"/>
      <c r="AP19" s="72" t="n"/>
      <c r="AQ19" s="72" t="n"/>
      <c r="AR19" s="43" t="n"/>
    </row>
    <row r="20" hidden="1" ht="24" customHeight="1">
      <c r="A20" s="53" t="n"/>
      <c r="B20" s="53" t="n"/>
      <c r="C20" s="53" t="n"/>
      <c r="D20" s="53" t="n"/>
      <c r="E20" s="53" t="n"/>
      <c r="F20" s="39" t="n"/>
      <c r="G20" s="25" t="n"/>
      <c r="H20" s="26" t="n"/>
      <c r="I20" s="53" t="n"/>
      <c r="J20" s="53" t="n"/>
      <c r="K20" s="44" t="n"/>
      <c r="L20" s="44" t="n"/>
      <c r="M20" s="44" t="n"/>
      <c r="N20" s="44" t="n"/>
      <c r="O20" s="44" t="n"/>
      <c r="P20" s="44" t="n"/>
      <c r="Q20" s="44" t="n"/>
      <c r="R20" s="44" t="n"/>
      <c r="T20" s="44" t="n"/>
      <c r="V20" s="44" t="n"/>
      <c r="X20" s="44" t="n"/>
      <c r="Y20" s="44" t="n"/>
      <c r="Z20" s="44" t="n"/>
      <c r="AA20" s="44" t="n"/>
      <c r="AB20" s="44" t="n"/>
      <c r="AC20" s="44" t="n"/>
      <c r="AD20" s="44" t="n"/>
      <c r="AE20" s="44" t="n"/>
      <c r="AH20" s="44" t="n"/>
      <c r="AI20" s="44" t="n"/>
      <c r="AJ20" s="44" t="n"/>
      <c r="AK20" s="44" t="n"/>
      <c r="AL20" s="44" t="n"/>
      <c r="AN20" s="44" t="n"/>
      <c r="AO20" s="84" t="n"/>
      <c r="AP20" s="74" t="n"/>
      <c r="AQ20" s="74" t="n"/>
      <c r="AR20" s="44" t="n"/>
    </row>
    <row r="21" hidden="1" ht="24" customHeight="1">
      <c r="A21" s="56" t="n"/>
      <c r="B21" s="56" t="n"/>
      <c r="C21" s="56" t="n"/>
      <c r="D21" s="56" t="n"/>
      <c r="E21" s="56" t="n"/>
      <c r="F21" s="39" t="n"/>
      <c r="G21" s="25" t="n"/>
      <c r="H21" s="26" t="n"/>
      <c r="I21" s="56" t="n"/>
      <c r="J21" s="56" t="n"/>
      <c r="K21" s="43" t="n"/>
      <c r="L21" s="43" t="n"/>
      <c r="M21" s="43" t="n"/>
      <c r="N21" s="43" t="n"/>
      <c r="O21" s="43" t="n"/>
      <c r="P21" s="43" t="n"/>
      <c r="Q21" s="43" t="n"/>
      <c r="R21" s="43" t="n"/>
      <c r="T21" s="43" t="n"/>
      <c r="U21" s="43" t="n"/>
      <c r="V21" s="43" t="n"/>
      <c r="X21" s="43" t="n"/>
      <c r="Y21" s="43" t="n"/>
      <c r="Z21" s="43" t="n"/>
      <c r="AA21" s="43" t="n"/>
      <c r="AB21" s="43" t="n"/>
      <c r="AC21" s="43" t="n"/>
      <c r="AD21" s="43" t="n"/>
      <c r="AE21" s="43" t="n"/>
      <c r="AH21" s="43" t="n"/>
      <c r="AI21" s="43" t="n"/>
      <c r="AJ21" s="43" t="n"/>
      <c r="AK21" s="43" t="n"/>
      <c r="AL21" s="43" t="n"/>
      <c r="AN21" s="43" t="n"/>
      <c r="AO21" s="84" t="n"/>
      <c r="AP21" s="72" t="n"/>
      <c r="AQ21" s="72" t="n"/>
      <c r="AR21" s="43" t="n"/>
    </row>
    <row r="22" hidden="1" ht="24" customHeight="1">
      <c r="A22" s="53" t="n"/>
      <c r="B22" s="53" t="n"/>
      <c r="C22" s="53" t="n"/>
      <c r="D22" s="53" t="n"/>
      <c r="E22" s="53" t="n"/>
      <c r="F22" s="39" t="n"/>
      <c r="G22" s="25" t="n"/>
      <c r="H22" s="26" t="n"/>
      <c r="I22" s="53" t="n"/>
      <c r="J22" s="53" t="n"/>
      <c r="K22" s="44" t="n"/>
      <c r="L22" s="44" t="n"/>
      <c r="M22" s="44" t="n"/>
      <c r="N22" s="44" t="n"/>
      <c r="O22" s="44" t="n"/>
      <c r="P22" s="44" t="n"/>
      <c r="Q22" s="44" t="n"/>
      <c r="R22" s="44" t="n"/>
      <c r="T22" s="44" t="n"/>
      <c r="V22" s="44" t="n"/>
      <c r="X22" s="44" t="n"/>
      <c r="Y22" s="44" t="n"/>
      <c r="Z22" s="44" t="n"/>
      <c r="AA22" s="44" t="n"/>
      <c r="AB22" s="44" t="n"/>
      <c r="AC22" s="44" t="n"/>
      <c r="AD22" s="44" t="n"/>
      <c r="AE22" s="44" t="n"/>
      <c r="AH22" s="44" t="n"/>
      <c r="AI22" s="44" t="n"/>
      <c r="AJ22" s="44" t="n"/>
      <c r="AK22" s="44" t="n"/>
      <c r="AL22" s="44" t="n"/>
      <c r="AN22" s="44" t="n"/>
      <c r="AO22" s="84" t="n"/>
      <c r="AP22" s="74" t="n"/>
      <c r="AQ22" s="74" t="n"/>
      <c r="AR22" s="44" t="n"/>
    </row>
    <row r="23" hidden="1" ht="24" customHeight="1">
      <c r="A23" s="56" t="n"/>
      <c r="B23" s="56" t="n"/>
      <c r="C23" s="56" t="n"/>
      <c r="D23" s="56" t="n"/>
      <c r="E23" s="56" t="n"/>
      <c r="F23" s="39" t="n"/>
      <c r="G23" s="25" t="n"/>
      <c r="H23" s="26" t="n"/>
      <c r="I23" s="56" t="n"/>
      <c r="J23" s="56" t="n"/>
      <c r="K23" s="43" t="n"/>
      <c r="L23" s="43" t="n"/>
      <c r="M23" s="43" t="n"/>
      <c r="N23" s="43" t="n"/>
      <c r="O23" s="43" t="n"/>
      <c r="P23" s="43" t="n"/>
      <c r="Q23" s="43" t="n"/>
      <c r="R23" s="43" t="n"/>
      <c r="T23" s="43" t="n"/>
      <c r="V23" s="43" t="n"/>
      <c r="X23" s="43" t="n"/>
      <c r="Y23" s="43" t="n"/>
      <c r="Z23" s="43" t="n"/>
      <c r="AA23" s="43" t="n"/>
      <c r="AB23" s="43" t="n"/>
      <c r="AC23" s="43" t="n"/>
      <c r="AD23" s="43" t="n"/>
      <c r="AE23" s="43" t="n"/>
      <c r="AH23" s="43" t="n"/>
      <c r="AI23" s="43" t="n"/>
      <c r="AJ23" s="43" t="n"/>
      <c r="AK23" s="43" t="n"/>
      <c r="AL23" s="43" t="n"/>
      <c r="AN23" s="43" t="n"/>
      <c r="AO23" s="84" t="n"/>
      <c r="AP23" s="72" t="n"/>
      <c r="AQ23" s="72" t="n"/>
      <c r="AR23" s="43" t="n"/>
    </row>
    <row r="24" hidden="1" ht="24" customHeight="1">
      <c r="A24" s="53" t="n"/>
      <c r="B24" s="53" t="n"/>
      <c r="C24" s="53" t="n"/>
      <c r="D24" s="53" t="n"/>
      <c r="E24" s="53" t="n"/>
      <c r="F24" s="39" t="n"/>
      <c r="G24" s="25" t="n"/>
      <c r="H24" s="26" t="n"/>
      <c r="I24" s="53" t="n"/>
      <c r="J24" s="53" t="n"/>
      <c r="K24" s="44" t="n"/>
      <c r="L24" s="44" t="n"/>
      <c r="M24" s="44" t="n"/>
      <c r="N24" s="44" t="n"/>
      <c r="O24" s="44" t="n"/>
      <c r="P24" s="44" t="n"/>
      <c r="Q24" s="44" t="n"/>
      <c r="R24" s="44" t="n"/>
      <c r="T24" s="44" t="n"/>
      <c r="V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H24" s="44" t="n"/>
      <c r="AI24" s="44" t="n"/>
      <c r="AJ24" s="44" t="n"/>
      <c r="AK24" s="44" t="n"/>
      <c r="AL24" s="44" t="n"/>
      <c r="AN24" s="44" t="n"/>
      <c r="AO24" s="84" t="n"/>
      <c r="AP24" s="74" t="n"/>
      <c r="AQ24" s="74" t="n"/>
      <c r="AR24" s="44" t="n"/>
    </row>
    <row r="25" hidden="1" ht="24" customHeight="1">
      <c r="A25" s="56" t="n"/>
      <c r="B25" s="56" t="n"/>
      <c r="C25" s="56" t="n"/>
      <c r="D25" s="56" t="n"/>
      <c r="E25" s="56" t="n"/>
      <c r="F25" s="39" t="n"/>
      <c r="G25" s="25" t="n"/>
      <c r="H25" s="26" t="n"/>
      <c r="I25" s="56" t="n"/>
      <c r="J25" s="56" t="n"/>
      <c r="K25" s="43" t="n"/>
      <c r="L25" s="43" t="n"/>
      <c r="M25" s="43" t="n"/>
      <c r="N25" s="43" t="n"/>
      <c r="O25" s="43" t="n"/>
      <c r="P25" s="43" t="n"/>
      <c r="Q25" s="43" t="n"/>
      <c r="R25" s="43" t="n"/>
      <c r="T25" s="43" t="n"/>
      <c r="V25" s="43" t="n"/>
      <c r="X25" s="43" t="n"/>
      <c r="Y25" s="43" t="n"/>
      <c r="Z25" s="43" t="n"/>
      <c r="AA25" s="43" t="n"/>
      <c r="AB25" s="43" t="n"/>
      <c r="AC25" s="43" t="n"/>
      <c r="AD25" s="43" t="n"/>
      <c r="AE25" s="43" t="n"/>
      <c r="AG25" s="43" t="n"/>
      <c r="AH25" s="43" t="n"/>
      <c r="AI25" s="43" t="n"/>
      <c r="AJ25" s="43" t="n"/>
      <c r="AK25" s="43" t="n"/>
      <c r="AL25" s="43" t="n"/>
      <c r="AN25" s="43" t="n"/>
      <c r="AO25" s="84" t="n"/>
      <c r="AP25" s="72" t="n"/>
      <c r="AQ25" s="72" t="n"/>
      <c r="AR25" s="43" t="n"/>
    </row>
    <row r="26" hidden="1" ht="24" customHeight="1">
      <c r="A26" s="53" t="n"/>
      <c r="B26" s="53" t="n"/>
      <c r="C26" s="53" t="n"/>
      <c r="D26" s="53" t="n"/>
      <c r="E26" s="53" t="n"/>
      <c r="F26" s="39" t="n"/>
      <c r="G26" s="25" t="n"/>
      <c r="H26" s="26" t="n"/>
      <c r="I26" s="53" t="n"/>
      <c r="J26" s="53" t="n"/>
      <c r="K26" s="44" t="n"/>
      <c r="L26" s="44" t="n"/>
      <c r="M26" s="44" t="n"/>
      <c r="N26" s="44" t="n"/>
      <c r="O26" s="44" t="n"/>
      <c r="P26" s="44" t="n"/>
      <c r="Q26" s="44" t="n"/>
      <c r="R26" s="44" t="n"/>
      <c r="T26" s="44" t="n"/>
      <c r="U26" s="44" t="n"/>
      <c r="V26" s="44" t="n"/>
      <c r="X26" s="44" t="n"/>
      <c r="Y26" s="44" t="n"/>
      <c r="Z26" s="44" t="n"/>
      <c r="AA26" s="44" t="n"/>
      <c r="AB26" s="44" t="n"/>
      <c r="AC26" s="44" t="n"/>
      <c r="AD26" s="44" t="n"/>
      <c r="AE26" s="44" t="n"/>
      <c r="AH26" s="44" t="n"/>
      <c r="AI26" s="44" t="n"/>
      <c r="AJ26" s="44" t="n"/>
      <c r="AK26" s="44" t="n"/>
      <c r="AL26" s="44" t="n"/>
      <c r="AN26" s="44" t="n"/>
      <c r="AO26" s="84" t="n"/>
      <c r="AP26" s="74" t="n"/>
      <c r="AQ26" s="74" t="n"/>
      <c r="AR26" s="44" t="n"/>
    </row>
    <row r="27" hidden="1" ht="24" customHeight="1">
      <c r="A27" s="56" t="n"/>
      <c r="B27" s="56" t="n"/>
      <c r="C27" s="56" t="n"/>
      <c r="D27" s="56" t="n"/>
      <c r="E27" s="56" t="n"/>
      <c r="F27" s="39" t="n"/>
      <c r="G27" s="25" t="n"/>
      <c r="H27" s="26" t="n"/>
      <c r="I27" s="56" t="n"/>
      <c r="J27" s="56" t="n"/>
      <c r="K27" s="43" t="n"/>
      <c r="L27" s="43" t="n"/>
      <c r="M27" s="43" t="n"/>
      <c r="N27" s="43" t="n"/>
      <c r="O27" s="43" t="n"/>
      <c r="P27" s="43" t="n"/>
      <c r="Q27" s="43" t="n"/>
      <c r="R27" s="43" t="n"/>
      <c r="T27" s="43" t="n"/>
      <c r="U27" s="43" t="n"/>
      <c r="V27" s="43" t="n"/>
      <c r="X27" s="43" t="n"/>
      <c r="Y27" s="43" t="n"/>
      <c r="Z27" s="43" t="n"/>
      <c r="AA27" s="43" t="n"/>
      <c r="AB27" s="43" t="n"/>
      <c r="AC27" s="43" t="n"/>
      <c r="AD27" s="43" t="n"/>
      <c r="AE27" s="43" t="n"/>
      <c r="AF27" s="43" t="n"/>
      <c r="AH27" s="43" t="n"/>
      <c r="AI27" s="43" t="n"/>
      <c r="AJ27" s="43" t="n"/>
      <c r="AK27" s="43" t="n"/>
      <c r="AL27" s="43" t="n"/>
      <c r="AN27" s="43" t="n"/>
      <c r="AO27" s="84" t="n"/>
      <c r="AP27" s="72" t="n"/>
      <c r="AQ27" s="72" t="n"/>
      <c r="AR27" s="43" t="n"/>
    </row>
    <row r="28" hidden="1" ht="24" customHeight="1">
      <c r="A28" s="53" t="n"/>
      <c r="B28" s="53" t="n"/>
      <c r="C28" s="53" t="n"/>
      <c r="D28" s="53" t="n"/>
      <c r="E28" s="53" t="n"/>
      <c r="F28" s="39" t="n"/>
      <c r="G28" s="25" t="n"/>
      <c r="H28" s="26" t="n"/>
      <c r="I28" s="53" t="n"/>
      <c r="J28" s="53" t="n"/>
      <c r="K28" s="44" t="n"/>
      <c r="L28" s="44" t="n"/>
      <c r="M28" s="44" t="n"/>
      <c r="N28" s="44" t="n"/>
      <c r="O28" s="44" t="n"/>
      <c r="P28" s="44" t="n"/>
      <c r="Q28" s="44" t="n"/>
      <c r="R28" s="44" t="n"/>
      <c r="T28" s="44" t="n"/>
      <c r="V28" s="44" t="n"/>
      <c r="X28" s="44" t="n"/>
      <c r="Y28" s="44" t="n"/>
      <c r="Z28" s="44" t="n"/>
      <c r="AA28" s="44" t="n"/>
      <c r="AB28" s="44" t="n"/>
      <c r="AC28" s="44" t="n"/>
      <c r="AD28" s="44" t="n"/>
      <c r="AE28" s="44" t="n"/>
      <c r="AH28" s="44" t="n"/>
      <c r="AI28" s="44" t="n"/>
      <c r="AJ28" s="44" t="n"/>
      <c r="AK28" s="44" t="n"/>
      <c r="AL28" s="44" t="n"/>
      <c r="AN28" s="44" t="n"/>
      <c r="AO28" s="84" t="n"/>
      <c r="AP28" s="74" t="n"/>
      <c r="AQ28" s="74" t="n"/>
      <c r="AR28" s="44" t="n"/>
    </row>
    <row r="29" hidden="1" ht="24" customHeight="1">
      <c r="A29" s="56" t="n"/>
      <c r="B29" s="56" t="n"/>
      <c r="C29" s="56" t="n"/>
      <c r="D29" s="56" t="n"/>
      <c r="E29" s="56" t="n"/>
      <c r="F29" s="39" t="n"/>
      <c r="G29" s="25" t="n"/>
      <c r="H29" s="26" t="n"/>
      <c r="I29" s="56" t="n"/>
      <c r="J29" s="56" t="n"/>
      <c r="K29" s="43" t="n"/>
      <c r="L29" s="43" t="n"/>
      <c r="M29" s="43" t="n"/>
      <c r="N29" s="43" t="n"/>
      <c r="O29" s="43" t="n"/>
      <c r="P29" s="43" t="n"/>
      <c r="Q29" s="43" t="n"/>
      <c r="R29" s="43" t="n"/>
      <c r="T29" s="43" t="n"/>
      <c r="U29" s="43" t="n"/>
      <c r="V29" s="43" t="n"/>
      <c r="X29" s="43" t="n"/>
      <c r="Y29" s="43" t="n"/>
      <c r="Z29" s="43" t="n"/>
      <c r="AA29" s="43" t="n"/>
      <c r="AB29" s="43" t="n"/>
      <c r="AC29" s="43" t="n"/>
      <c r="AD29" s="43" t="n"/>
      <c r="AE29" s="43" t="n"/>
      <c r="AF29" s="43" t="n"/>
      <c r="AH29" s="43" t="n"/>
      <c r="AI29" s="43" t="n"/>
      <c r="AJ29" s="43" t="n"/>
      <c r="AK29" s="43" t="n"/>
      <c r="AL29" s="43" t="n"/>
      <c r="AN29" s="43" t="n"/>
      <c r="AO29" s="84" t="n"/>
      <c r="AP29" s="72" t="n"/>
      <c r="AQ29" s="72" t="n"/>
      <c r="AR29" s="43" t="n"/>
    </row>
    <row r="30" hidden="1" ht="24" customHeight="1">
      <c r="A30" s="53" t="n"/>
      <c r="B30" s="53" t="n"/>
      <c r="C30" s="53" t="n"/>
      <c r="D30" s="53" t="n"/>
      <c r="E30" s="53" t="n"/>
      <c r="F30" s="39" t="n"/>
      <c r="G30" s="25" t="n"/>
      <c r="H30" s="26" t="n"/>
      <c r="I30" s="53" t="n"/>
      <c r="J30" s="53" t="n"/>
      <c r="K30" s="44" t="n"/>
      <c r="L30" s="44" t="n"/>
      <c r="M30" s="44" t="n"/>
      <c r="N30" s="44" t="n"/>
      <c r="O30" s="44" t="n"/>
      <c r="P30" s="44" t="n"/>
      <c r="Q30" s="44" t="n"/>
      <c r="R30" s="44" t="n"/>
      <c r="T30" s="44" t="n"/>
      <c r="V30" s="44" t="n"/>
      <c r="X30" s="44" t="n"/>
      <c r="Y30" s="44" t="n"/>
      <c r="Z30" s="44" t="n"/>
      <c r="AA30" s="44" t="n"/>
      <c r="AB30" s="44" t="n"/>
      <c r="AC30" s="44" t="n"/>
      <c r="AD30" s="44" t="n"/>
      <c r="AE30" s="44" t="n"/>
      <c r="AF30" s="44" t="n"/>
      <c r="AG30" s="44" t="n"/>
      <c r="AH30" s="44" t="n"/>
      <c r="AI30" s="44" t="n"/>
      <c r="AJ30" s="44" t="n"/>
      <c r="AK30" s="44" t="n"/>
      <c r="AL30" s="44" t="n"/>
      <c r="AN30" s="44" t="n"/>
      <c r="AO30" s="84" t="n"/>
      <c r="AP30" s="74" t="n"/>
      <c r="AQ30" s="74" t="n"/>
      <c r="AR30" s="44" t="n"/>
    </row>
    <row r="31" hidden="1" ht="24" customHeight="1">
      <c r="A31" s="56" t="n"/>
      <c r="B31" s="56" t="n"/>
      <c r="C31" s="56" t="n"/>
      <c r="D31" s="56" t="n"/>
      <c r="E31" s="56" t="n"/>
      <c r="F31" s="39" t="n"/>
      <c r="G31" s="25" t="n"/>
      <c r="H31" s="26" t="n"/>
      <c r="I31" s="56" t="n"/>
      <c r="J31" s="56" t="n"/>
      <c r="K31" s="43" t="n"/>
      <c r="L31" s="43" t="n"/>
      <c r="M31" s="43" t="n"/>
      <c r="N31" s="43" t="n"/>
      <c r="O31" s="43" t="n"/>
      <c r="P31" s="43" t="n"/>
      <c r="Q31" s="43" t="n"/>
      <c r="R31" s="43" t="n"/>
      <c r="T31" s="43" t="n"/>
      <c r="U31" s="43" t="n"/>
      <c r="V31" s="43" t="n"/>
      <c r="X31" s="43" t="n"/>
      <c r="Y31" s="43" t="n"/>
      <c r="Z31" s="43" t="n"/>
      <c r="AA31" s="43" t="n"/>
      <c r="AB31" s="43" t="n"/>
      <c r="AC31" s="43" t="n"/>
      <c r="AD31" s="43" t="n"/>
      <c r="AE31" s="43" t="n"/>
      <c r="AF31" s="43" t="n"/>
      <c r="AH31" s="43" t="n"/>
      <c r="AI31" s="43" t="n"/>
      <c r="AJ31" s="43" t="n"/>
      <c r="AK31" s="43" t="n"/>
      <c r="AL31" s="43" t="n"/>
      <c r="AN31" s="43" t="n"/>
      <c r="AO31" s="84" t="n"/>
      <c r="AP31" s="72" t="n"/>
      <c r="AQ31" s="72" t="n"/>
      <c r="AR31" s="43" t="n"/>
    </row>
    <row r="32" hidden="1" ht="24" customHeight="1">
      <c r="A32" s="53" t="n"/>
      <c r="B32" s="53" t="n"/>
      <c r="C32" s="53" t="n"/>
      <c r="D32" s="53" t="n"/>
      <c r="E32" s="53" t="n"/>
      <c r="F32" s="39" t="n"/>
      <c r="G32" s="25" t="n"/>
      <c r="H32" s="26" t="n"/>
      <c r="I32" s="53" t="n"/>
      <c r="J32" s="53" t="n"/>
      <c r="K32" s="44" t="n"/>
      <c r="M32" s="44" t="n"/>
      <c r="N32" s="44" t="n"/>
      <c r="O32" s="44" t="n"/>
      <c r="P32" s="44" t="n"/>
      <c r="Q32" s="44" t="n"/>
      <c r="R32" s="44" t="n"/>
      <c r="T32" s="44" t="n"/>
      <c r="U32" s="44" t="n"/>
      <c r="V32" s="44" t="n"/>
      <c r="X32" s="44" t="n"/>
      <c r="Y32" s="44" t="n"/>
      <c r="Z32" s="44" t="n"/>
      <c r="AA32" s="44" t="n"/>
      <c r="AB32" s="44" t="n"/>
      <c r="AC32" s="44" t="n"/>
      <c r="AD32" s="44" t="n"/>
      <c r="AE32" s="44" t="n"/>
      <c r="AF32" s="44" t="n"/>
      <c r="AH32" s="44" t="n"/>
      <c r="AI32" s="44" t="n"/>
      <c r="AJ32" s="44" t="n"/>
      <c r="AK32" s="44" t="n"/>
      <c r="AL32" s="44" t="n"/>
      <c r="AN32" s="44" t="n"/>
      <c r="AO32" s="84" t="n"/>
      <c r="AP32" s="74" t="n"/>
      <c r="AQ32" s="74" t="n"/>
      <c r="AR32" s="44" t="n"/>
    </row>
    <row r="33" hidden="1" ht="24" customHeight="1">
      <c r="A33" s="56" t="n"/>
      <c r="B33" s="56" t="n"/>
      <c r="C33" s="56" t="n"/>
      <c r="D33" s="56" t="n"/>
      <c r="E33" s="56" t="n"/>
      <c r="F33" s="39" t="n"/>
      <c r="G33" s="25" t="n"/>
      <c r="H33" s="26" t="n"/>
      <c r="I33" s="56" t="n"/>
      <c r="J33" s="56" t="n"/>
      <c r="K33" s="43" t="n"/>
      <c r="M33" s="43" t="n"/>
      <c r="N33" s="43" t="n"/>
      <c r="O33" s="43" t="n"/>
      <c r="P33" s="43" t="n"/>
      <c r="Q33" s="43" t="n"/>
      <c r="R33" s="43" t="n"/>
      <c r="T33" s="43" t="n"/>
      <c r="U33" s="43" t="n"/>
      <c r="V33" s="43" t="n"/>
      <c r="X33" s="43" t="n"/>
      <c r="Y33" s="43" t="n"/>
      <c r="Z33" s="43" t="n"/>
      <c r="AA33" s="43" t="n"/>
      <c r="AB33" s="43" t="n"/>
      <c r="AC33" s="43" t="n"/>
      <c r="AD33" s="43" t="n"/>
      <c r="AE33" s="43" t="n"/>
      <c r="AF33" s="43" t="n"/>
      <c r="AH33" s="43" t="n"/>
      <c r="AI33" s="43" t="n"/>
      <c r="AJ33" s="43" t="n"/>
      <c r="AK33" s="43" t="n"/>
      <c r="AL33" s="43" t="n"/>
      <c r="AN33" s="43" t="n"/>
      <c r="AO33" s="84" t="n"/>
      <c r="AP33" s="72" t="n"/>
      <c r="AQ33" s="72" t="n"/>
      <c r="AR33" s="43" t="n"/>
    </row>
    <row r="34" hidden="1" ht="24" customHeight="1">
      <c r="A34" s="53" t="n"/>
      <c r="B34" s="53" t="n"/>
      <c r="C34" s="53" t="n"/>
      <c r="D34" s="53" t="n"/>
      <c r="E34" s="53" t="n"/>
      <c r="F34" s="39" t="n"/>
      <c r="G34" s="25" t="n"/>
      <c r="H34" s="26" t="n"/>
      <c r="I34" s="53" t="n"/>
      <c r="J34" s="53" t="n"/>
      <c r="K34" s="44" t="n"/>
      <c r="M34" s="44" t="n"/>
      <c r="N34" s="44" t="n"/>
      <c r="O34" s="44" t="n"/>
      <c r="P34" s="44" t="n"/>
      <c r="Q34" s="44" t="n"/>
      <c r="R34" s="44" t="n"/>
      <c r="T34" s="44" t="n"/>
      <c r="V34" s="44" t="n"/>
      <c r="X34" s="44" t="n"/>
      <c r="Y34" s="44" t="n"/>
      <c r="Z34" s="44" t="n"/>
      <c r="AA34" s="44" t="n"/>
      <c r="AB34" s="44" t="n"/>
      <c r="AC34" s="44" t="n"/>
      <c r="AD34" s="44" t="n"/>
      <c r="AE34" s="44" t="n"/>
      <c r="AF34" s="44" t="n"/>
      <c r="AH34" s="44" t="n"/>
      <c r="AI34" s="44" t="n"/>
      <c r="AJ34" s="44" t="n"/>
      <c r="AK34" s="44" t="n"/>
      <c r="AL34" s="44" t="n"/>
      <c r="AN34" s="44" t="n"/>
      <c r="AO34" s="84" t="n"/>
      <c r="AP34" s="74" t="n"/>
      <c r="AQ34" s="74" t="n"/>
      <c r="AR34" s="44" t="n"/>
    </row>
    <row r="35" hidden="1" ht="24" customHeight="1">
      <c r="A35" s="56" t="n"/>
      <c r="B35" s="56" t="n"/>
      <c r="C35" s="56" t="n"/>
      <c r="D35" s="56" t="n"/>
      <c r="E35" s="56" t="n"/>
      <c r="F35" s="39" t="n"/>
      <c r="G35" s="25" t="n"/>
      <c r="H35" s="26" t="n"/>
      <c r="I35" s="56" t="n"/>
      <c r="J35" s="56" t="n"/>
      <c r="K35" s="43" t="n"/>
      <c r="M35" s="43" t="n"/>
      <c r="N35" s="43" t="n"/>
      <c r="O35" s="43" t="n"/>
      <c r="P35" s="43" t="n"/>
      <c r="Q35" s="43" t="n"/>
      <c r="R35" s="43" t="n"/>
      <c r="T35" s="43" t="n"/>
      <c r="U35" s="43" t="n"/>
      <c r="V35" s="43" t="n"/>
      <c r="X35" s="43" t="n"/>
      <c r="Y35" s="43" t="n"/>
      <c r="Z35" s="43" t="n"/>
      <c r="AA35" s="43" t="n"/>
      <c r="AB35" s="43" t="n"/>
      <c r="AC35" s="43" t="n"/>
      <c r="AD35" s="43" t="n"/>
      <c r="AE35" s="43" t="n"/>
      <c r="AF35" s="43" t="n"/>
      <c r="AH35" s="43" t="n"/>
      <c r="AI35" s="43" t="n"/>
      <c r="AJ35" s="43" t="n"/>
      <c r="AK35" s="43" t="n"/>
      <c r="AL35" s="43" t="n"/>
      <c r="AN35" s="43" t="n"/>
      <c r="AO35" s="84" t="n"/>
      <c r="AP35" s="72" t="n"/>
      <c r="AQ35" s="72" t="n"/>
      <c r="AR35" s="43" t="n"/>
    </row>
    <row r="36" hidden="1" ht="24" customHeight="1">
      <c r="A36" s="53" t="n"/>
      <c r="B36" s="53" t="n"/>
      <c r="C36" s="53" t="n"/>
      <c r="D36" s="53" t="n"/>
      <c r="E36" s="53" t="n"/>
      <c r="F36" s="39" t="n"/>
      <c r="G36" s="25" t="n"/>
      <c r="H36" s="26" t="n"/>
      <c r="I36" s="53" t="n"/>
      <c r="J36" s="53" t="n"/>
      <c r="K36" s="44" t="n"/>
      <c r="L36" s="44" t="n"/>
      <c r="M36" s="44" t="n"/>
      <c r="N36" s="44" t="n"/>
      <c r="O36" s="44" t="n"/>
      <c r="P36" s="44" t="n"/>
      <c r="Q36" s="44" t="n"/>
      <c r="R36" s="44" t="n"/>
      <c r="T36" s="44" t="n"/>
      <c r="U36" s="44" t="n"/>
      <c r="V36" s="44" t="n"/>
      <c r="X36" s="44" t="n"/>
      <c r="Y36" s="44" t="n"/>
      <c r="Z36" s="44" t="n"/>
      <c r="AA36" s="44" t="n"/>
      <c r="AB36" s="44" t="n"/>
      <c r="AC36" s="44" t="n"/>
      <c r="AD36" s="44" t="n"/>
      <c r="AE36" s="44" t="n"/>
      <c r="AF36" s="44" t="n"/>
      <c r="AH36" s="44" t="n"/>
      <c r="AI36" s="44" t="n"/>
      <c r="AJ36" s="44" t="n"/>
      <c r="AK36" s="44" t="n"/>
      <c r="AL36" s="44" t="n"/>
      <c r="AN36" s="44" t="n"/>
      <c r="AO36" s="84" t="n"/>
      <c r="AP36" s="74" t="n"/>
      <c r="AQ36" s="74" t="n"/>
      <c r="AR36" s="44" t="n"/>
    </row>
    <row r="37" hidden="1" ht="24" customHeight="1">
      <c r="A37" s="56" t="n"/>
      <c r="B37" s="56" t="n"/>
      <c r="C37" s="56" t="n"/>
      <c r="D37" s="56" t="n"/>
      <c r="E37" s="56" t="n"/>
      <c r="F37" s="39" t="n"/>
      <c r="G37" s="25" t="n"/>
      <c r="H37" s="26" t="n"/>
      <c r="I37" s="56" t="n"/>
      <c r="J37" s="56" t="n"/>
      <c r="K37" s="43" t="n"/>
      <c r="L37" s="43" t="n"/>
      <c r="M37" s="43" t="n"/>
      <c r="N37" s="43" t="n"/>
      <c r="O37" s="43" t="n"/>
      <c r="P37" s="43" t="n"/>
      <c r="Q37" s="43" t="n"/>
      <c r="R37" s="43" t="n"/>
      <c r="T37" s="43" t="n"/>
      <c r="U37" s="43" t="n"/>
      <c r="V37" s="43" t="n"/>
      <c r="X37" s="43" t="n"/>
      <c r="Y37" s="43" t="n"/>
      <c r="Z37" s="43" t="n"/>
      <c r="AA37" s="43" t="n"/>
      <c r="AB37" s="43" t="n"/>
      <c r="AC37" s="43" t="n"/>
      <c r="AD37" s="43" t="n"/>
      <c r="AE37" s="43" t="n"/>
      <c r="AF37" s="43" t="n"/>
      <c r="AH37" s="43" t="n"/>
      <c r="AI37" s="43" t="n"/>
      <c r="AJ37" s="43" t="n"/>
      <c r="AK37" s="43" t="n"/>
      <c r="AL37" s="43" t="n"/>
      <c r="AN37" s="43" t="n"/>
      <c r="AO37" s="84" t="n"/>
      <c r="AP37" s="72" t="n"/>
      <c r="AQ37" s="72" t="n"/>
      <c r="AR37" s="43" t="n"/>
    </row>
    <row r="38" hidden="1" ht="24" customHeight="1">
      <c r="A38" s="53" t="n"/>
      <c r="B38" s="53" t="n"/>
      <c r="C38" s="53" t="n"/>
      <c r="D38" s="53" t="n"/>
      <c r="E38" s="53" t="n"/>
      <c r="F38" s="39" t="n"/>
      <c r="G38" s="25" t="n"/>
      <c r="H38" s="26" t="n"/>
      <c r="I38" s="53" t="n"/>
      <c r="J38" s="53" t="n"/>
      <c r="K38" s="44" t="n"/>
      <c r="M38" s="44" t="n"/>
      <c r="N38" s="44" t="n"/>
      <c r="O38" s="44" t="n"/>
      <c r="P38" s="44" t="n"/>
      <c r="Q38" s="44" t="n"/>
      <c r="R38" s="44" t="n"/>
      <c r="T38" s="44" t="n"/>
      <c r="U38" s="44" t="n"/>
      <c r="V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H38" s="44" t="n"/>
      <c r="AI38" s="44" t="n"/>
      <c r="AJ38" s="44" t="n"/>
      <c r="AK38" s="44" t="n"/>
      <c r="AL38" s="44" t="n"/>
      <c r="AN38" s="44" t="n"/>
      <c r="AO38" s="84" t="n"/>
      <c r="AP38" s="74" t="n"/>
      <c r="AQ38" s="74" t="n"/>
      <c r="AR38" s="44" t="n"/>
    </row>
    <row r="39" hidden="1" ht="24" customHeight="1">
      <c r="A39" s="56" t="n"/>
      <c r="B39" s="56" t="n"/>
      <c r="C39" s="56" t="n"/>
      <c r="D39" s="56" t="n"/>
      <c r="E39" s="56" t="n"/>
      <c r="F39" s="39" t="n"/>
      <c r="G39" s="25" t="n"/>
      <c r="H39" s="26" t="n"/>
      <c r="I39" s="56" t="n"/>
      <c r="J39" s="56" t="n"/>
      <c r="K39" s="43" t="n"/>
      <c r="L39" s="43" t="n"/>
      <c r="M39" s="43" t="n"/>
      <c r="N39" s="43" t="n"/>
      <c r="O39" s="43" t="n"/>
      <c r="P39" s="43" t="n"/>
      <c r="Q39" s="43" t="n"/>
      <c r="R39" s="43" t="n"/>
      <c r="T39" s="43" t="n"/>
      <c r="U39" s="43" t="n"/>
      <c r="V39" s="43" t="n"/>
      <c r="X39" s="43" t="n"/>
      <c r="Y39" s="43" t="n"/>
      <c r="Z39" s="43" t="n"/>
      <c r="AA39" s="43" t="n"/>
      <c r="AB39" s="43" t="n"/>
      <c r="AC39" s="43" t="n"/>
      <c r="AD39" s="43" t="n"/>
      <c r="AE39" s="43" t="n"/>
      <c r="AF39" s="43" t="n"/>
      <c r="AH39" s="43" t="n"/>
      <c r="AI39" s="43" t="n"/>
      <c r="AJ39" s="43" t="n"/>
      <c r="AK39" s="43" t="n"/>
      <c r="AL39" s="43" t="n"/>
      <c r="AN39" s="43" t="n"/>
      <c r="AO39" s="84" t="n"/>
      <c r="AP39" s="72" t="n"/>
      <c r="AQ39" s="72" t="n"/>
      <c r="AR39" s="43" t="n"/>
    </row>
    <row r="40" hidden="1" ht="24" customHeight="1">
      <c r="A40" s="53" t="n"/>
      <c r="B40" s="53" t="n"/>
      <c r="C40" s="53" t="n"/>
      <c r="D40" s="53" t="n"/>
      <c r="E40" s="53" t="n"/>
      <c r="F40" s="39" t="n"/>
      <c r="G40" s="25" t="n"/>
      <c r="H40" s="26" t="n"/>
      <c r="I40" s="53" t="n"/>
      <c r="J40" s="53" t="n"/>
      <c r="K40" s="44" t="n"/>
      <c r="L40" s="44" t="n"/>
      <c r="M40" s="44" t="n"/>
      <c r="N40" s="44" t="n"/>
      <c r="O40" s="44" t="n"/>
      <c r="P40" s="44" t="n"/>
      <c r="Q40" s="44" t="n"/>
      <c r="R40" s="44" t="n"/>
      <c r="T40" s="44" t="n"/>
      <c r="U40" s="44" t="n"/>
      <c r="V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44" t="n"/>
      <c r="AJ40" s="44" t="n"/>
      <c r="AK40" s="44" t="n"/>
      <c r="AL40" s="44" t="n"/>
      <c r="AN40" s="44" t="n"/>
      <c r="AO40" s="84" t="n"/>
      <c r="AP40" s="74" t="n"/>
      <c r="AQ40" s="74" t="n"/>
      <c r="AR40" s="44" t="n"/>
    </row>
    <row r="41" hidden="1" ht="24" customHeight="1">
      <c r="A41" s="56" t="n"/>
      <c r="B41" s="56" t="n"/>
      <c r="C41" s="56" t="n"/>
      <c r="D41" s="56" t="n"/>
      <c r="E41" s="56" t="n"/>
      <c r="F41" s="39" t="n"/>
      <c r="G41" s="25" t="n"/>
      <c r="H41" s="26" t="n"/>
      <c r="I41" s="56" t="n"/>
      <c r="J41" s="56" t="n"/>
      <c r="K41" s="43" t="n"/>
      <c r="M41" s="43" t="n"/>
      <c r="N41" s="43" t="n"/>
      <c r="O41" s="43" t="n"/>
      <c r="P41" s="43" t="n"/>
      <c r="Q41" s="43" t="n"/>
      <c r="R41" s="43" t="n"/>
      <c r="T41" s="43" t="n"/>
      <c r="U41" s="43" t="n"/>
      <c r="V41" s="43" t="n"/>
      <c r="X41" s="43" t="n"/>
      <c r="Y41" s="43" t="n"/>
      <c r="Z41" s="43" t="n"/>
      <c r="AA41" s="43" t="n"/>
      <c r="AB41" s="43" t="n"/>
      <c r="AC41" s="43" t="n"/>
      <c r="AD41" s="43" t="n"/>
      <c r="AE41" s="43" t="n"/>
      <c r="AF41" s="43" t="n"/>
      <c r="AH41" s="43" t="n"/>
      <c r="AI41" s="43" t="n"/>
      <c r="AJ41" s="43" t="n"/>
      <c r="AK41" s="43" t="n"/>
      <c r="AL41" s="43" t="n"/>
      <c r="AN41" s="43" t="n"/>
      <c r="AO41" s="84" t="n"/>
      <c r="AP41" s="72" t="n"/>
      <c r="AQ41" s="72" t="n"/>
      <c r="AR41" s="43" t="n"/>
    </row>
    <row r="42" hidden="1" ht="24" customHeight="1">
      <c r="A42" s="53" t="n"/>
      <c r="B42" s="53" t="n"/>
      <c r="C42" s="53" t="n"/>
      <c r="D42" s="53" t="n"/>
      <c r="E42" s="53" t="n"/>
      <c r="F42" s="39" t="n"/>
      <c r="G42" s="25" t="n"/>
      <c r="H42" s="26" t="n"/>
      <c r="I42" s="53" t="n"/>
      <c r="J42" s="53" t="n"/>
      <c r="K42" s="44" t="n"/>
      <c r="M42" s="44" t="n"/>
      <c r="N42" s="44" t="n"/>
      <c r="O42" s="44" t="n"/>
      <c r="P42" s="44" t="n"/>
      <c r="Q42" s="44" t="n"/>
      <c r="R42" s="44" t="n"/>
      <c r="T42" s="44" t="n"/>
      <c r="U42" s="44" t="n"/>
      <c r="V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H42" s="44" t="n"/>
      <c r="AI42" s="44" t="n"/>
      <c r="AJ42" s="44" t="n"/>
      <c r="AK42" s="44" t="n"/>
      <c r="AL42" s="44" t="n"/>
      <c r="AN42" s="44" t="n"/>
      <c r="AO42" s="84" t="n"/>
      <c r="AP42" s="74" t="n"/>
      <c r="AQ42" s="74" t="n"/>
      <c r="AR42" s="44" t="n"/>
    </row>
    <row r="43" hidden="1" ht="24" customHeight="1">
      <c r="A43" s="56" t="n"/>
      <c r="B43" s="56" t="n"/>
      <c r="C43" s="56" t="n"/>
      <c r="D43" s="56" t="n"/>
      <c r="E43" s="56" t="n"/>
      <c r="F43" s="39" t="n"/>
      <c r="G43" s="25" t="n"/>
      <c r="H43" s="26" t="n"/>
      <c r="I43" s="56" t="n"/>
      <c r="J43" s="56" t="n"/>
      <c r="K43" s="43" t="n"/>
      <c r="M43" s="43" t="n"/>
      <c r="N43" s="43" t="n"/>
      <c r="O43" s="43" t="n"/>
      <c r="P43" s="43" t="n"/>
      <c r="Q43" s="43" t="n"/>
      <c r="R43" s="43" t="n"/>
      <c r="T43" s="43" t="n"/>
      <c r="U43" s="43" t="n"/>
      <c r="V43" s="43" t="n"/>
      <c r="X43" s="43" t="n"/>
      <c r="Y43" s="43" t="n"/>
      <c r="Z43" s="43" t="n"/>
      <c r="AA43" s="43" t="n"/>
      <c r="AB43" s="43" t="n"/>
      <c r="AC43" s="43" t="n"/>
      <c r="AD43" s="43" t="n"/>
      <c r="AE43" s="43" t="n"/>
      <c r="AH43" s="43" t="n"/>
      <c r="AI43" s="43" t="n"/>
      <c r="AJ43" s="43" t="n"/>
      <c r="AK43" s="43" t="n"/>
      <c r="AL43" s="43" t="n"/>
      <c r="AN43" s="43" t="n"/>
      <c r="AO43" s="84" t="n"/>
      <c r="AP43" s="72" t="n"/>
      <c r="AQ43" s="72" t="n"/>
      <c r="AR43" s="43" t="n"/>
    </row>
    <row r="44" hidden="1" ht="24" customHeight="1">
      <c r="A44" s="53" t="n"/>
      <c r="B44" s="53" t="n"/>
      <c r="C44" s="53" t="n"/>
      <c r="D44" s="53" t="n"/>
      <c r="E44" s="53" t="n"/>
      <c r="F44" s="39" t="n"/>
      <c r="G44" s="25" t="n"/>
      <c r="H44" s="26" t="n"/>
      <c r="I44" s="53" t="n"/>
      <c r="J44" s="53" t="n"/>
      <c r="K44" s="44" t="n"/>
      <c r="M44" s="44" t="n"/>
      <c r="N44" s="44" t="n"/>
      <c r="O44" s="44" t="n"/>
      <c r="P44" s="44" t="n"/>
      <c r="Q44" s="44" t="n"/>
      <c r="R44" s="44" t="n"/>
      <c r="T44" s="44" t="n"/>
      <c r="U44" s="44" t="n"/>
      <c r="V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H44" s="44" t="n"/>
      <c r="AI44" s="44" t="n"/>
      <c r="AJ44" s="44" t="n"/>
      <c r="AK44" s="44" t="n"/>
      <c r="AL44" s="44" t="n"/>
      <c r="AN44" s="44" t="n"/>
      <c r="AO44" s="84" t="n"/>
      <c r="AP44" s="74" t="n"/>
      <c r="AQ44" s="74" t="n"/>
      <c r="AR44" s="44" t="n"/>
    </row>
    <row r="45" hidden="1" ht="24" customHeight="1">
      <c r="A45" s="56" t="n"/>
      <c r="B45" s="56" t="n"/>
      <c r="C45" s="56" t="n"/>
      <c r="D45" s="56" t="n"/>
      <c r="E45" s="56" t="n"/>
      <c r="F45" s="39" t="n"/>
      <c r="G45" s="25" t="n"/>
      <c r="H45" s="26" t="n"/>
      <c r="I45" s="56" t="n"/>
      <c r="J45" s="56" t="n"/>
      <c r="K45" s="43" t="n"/>
      <c r="M45" s="43" t="n"/>
      <c r="N45" s="43" t="n"/>
      <c r="O45" s="43" t="n"/>
      <c r="P45" s="43" t="n"/>
      <c r="Q45" s="43" t="n"/>
      <c r="R45" s="43" t="n"/>
      <c r="T45" s="43" t="n"/>
      <c r="U45" s="43" t="n"/>
      <c r="V45" s="43" t="n"/>
      <c r="X45" s="43" t="n"/>
      <c r="Y45" s="43" t="n"/>
      <c r="Z45" s="43" t="n"/>
      <c r="AA45" s="43" t="n"/>
      <c r="AB45" s="43" t="n"/>
      <c r="AC45" s="43" t="n"/>
      <c r="AD45" s="43" t="n"/>
      <c r="AE45" s="43" t="n"/>
      <c r="AF45" s="43" t="n"/>
      <c r="AH45" s="43" t="n"/>
      <c r="AI45" s="43" t="n"/>
      <c r="AJ45" s="43" t="n"/>
      <c r="AK45" s="43" t="n"/>
      <c r="AL45" s="43" t="n"/>
      <c r="AN45" s="43" t="n"/>
      <c r="AO45" s="84" t="n"/>
      <c r="AP45" s="72" t="n"/>
      <c r="AQ45" s="72" t="n"/>
      <c r="AR45" s="43" t="n"/>
    </row>
    <row r="46" hidden="1" ht="24" customHeight="1">
      <c r="A46" s="53" t="n"/>
      <c r="B46" s="53" t="n"/>
      <c r="C46" s="53" t="n"/>
      <c r="D46" s="53" t="n"/>
      <c r="E46" s="53" t="n"/>
      <c r="F46" s="39" t="n"/>
      <c r="G46" s="25" t="n"/>
      <c r="H46" s="26" t="n"/>
      <c r="I46" s="53" t="n"/>
      <c r="J46" s="53" t="n"/>
      <c r="K46" s="44" t="n"/>
      <c r="M46" s="44" t="n"/>
      <c r="N46" s="44" t="n"/>
      <c r="O46" s="44" t="n"/>
      <c r="P46" s="44" t="n"/>
      <c r="Q46" s="44" t="n"/>
      <c r="R46" s="44" t="n"/>
      <c r="T46" s="44" t="n"/>
      <c r="U46" s="44" t="n"/>
      <c r="V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H46" s="44" t="n"/>
      <c r="AI46" s="44" t="n"/>
      <c r="AJ46" s="44" t="n"/>
      <c r="AK46" s="44" t="n"/>
      <c r="AL46" s="44" t="n"/>
      <c r="AN46" s="44" t="n"/>
      <c r="AO46" s="84" t="n"/>
      <c r="AP46" s="74" t="n"/>
      <c r="AQ46" s="74" t="n"/>
      <c r="AR46" s="44" t="n"/>
    </row>
    <row r="47" hidden="1" ht="24" customHeight="1">
      <c r="A47" s="56" t="n"/>
      <c r="B47" s="56" t="n"/>
      <c r="C47" s="56" t="n"/>
      <c r="D47" s="56" t="n"/>
      <c r="E47" s="56" t="n"/>
      <c r="F47" s="39" t="n"/>
      <c r="G47" s="25" t="n"/>
      <c r="H47" s="26" t="n"/>
      <c r="I47" s="56" t="n"/>
      <c r="J47" s="56" t="n"/>
      <c r="K47" s="43" t="n"/>
      <c r="M47" s="43" t="n"/>
      <c r="N47" s="43" t="n"/>
      <c r="O47" s="43" t="n"/>
      <c r="P47" s="43" t="n"/>
      <c r="Q47" s="43" t="n"/>
      <c r="R47" s="43" t="n"/>
      <c r="T47" s="43" t="n"/>
      <c r="U47" s="43" t="n"/>
      <c r="V47" s="43" t="n"/>
      <c r="X47" s="43" t="n"/>
      <c r="Y47" s="43" t="n"/>
      <c r="Z47" s="43" t="n"/>
      <c r="AA47" s="43" t="n"/>
      <c r="AB47" s="43" t="n"/>
      <c r="AC47" s="43" t="n"/>
      <c r="AD47" s="43" t="n"/>
      <c r="AE47" s="43" t="n"/>
      <c r="AF47" s="43" t="n"/>
      <c r="AH47" s="43" t="n"/>
      <c r="AI47" s="43" t="n"/>
      <c r="AJ47" s="43" t="n"/>
      <c r="AK47" s="43" t="n"/>
      <c r="AL47" s="43" t="n"/>
      <c r="AN47" s="43" t="n"/>
      <c r="AO47" s="84" t="n"/>
      <c r="AP47" s="72" t="n"/>
      <c r="AQ47" s="72" t="n"/>
      <c r="AR47" s="43" t="n"/>
    </row>
    <row r="48" hidden="1" ht="24" customHeight="1">
      <c r="A48" s="53" t="n"/>
      <c r="B48" s="53" t="n"/>
      <c r="C48" s="53" t="n"/>
      <c r="D48" s="53" t="n"/>
      <c r="E48" s="53" t="n"/>
      <c r="F48" s="39" t="n"/>
      <c r="G48" s="25" t="n"/>
      <c r="H48" s="26" t="n"/>
      <c r="I48" s="53" t="n"/>
      <c r="J48" s="53" t="n"/>
      <c r="K48" s="44" t="n"/>
      <c r="M48" s="44" t="n"/>
      <c r="N48" s="44" t="n"/>
      <c r="O48" s="44" t="n"/>
      <c r="P48" s="44" t="n"/>
      <c r="Q48" s="44" t="n"/>
      <c r="R48" s="44" t="n"/>
      <c r="T48" s="44" t="n"/>
      <c r="V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H48" s="44" t="n"/>
      <c r="AI48" s="44" t="n"/>
      <c r="AJ48" s="44" t="n"/>
      <c r="AK48" s="44" t="n"/>
      <c r="AL48" s="44" t="n"/>
      <c r="AN48" s="44" t="n"/>
      <c r="AO48" s="84" t="n"/>
      <c r="AP48" s="74" t="n"/>
      <c r="AQ48" s="74" t="n"/>
      <c r="AR48" s="44" t="n"/>
    </row>
    <row r="49" hidden="1" ht="24" customHeight="1">
      <c r="A49" s="56" t="n"/>
      <c r="B49" s="56" t="n"/>
      <c r="C49" s="56" t="n"/>
      <c r="D49" s="56" t="n"/>
      <c r="E49" s="56" t="n"/>
      <c r="F49" s="39" t="n"/>
      <c r="G49" s="25" t="n"/>
      <c r="H49" s="26" t="n"/>
      <c r="I49" s="56" t="n"/>
      <c r="J49" s="56" t="n"/>
      <c r="K49" s="43" t="n"/>
      <c r="M49" s="43" t="n"/>
      <c r="N49" s="43" t="n"/>
      <c r="O49" s="43" t="n"/>
      <c r="P49" s="43" t="n"/>
      <c r="Q49" s="43" t="n"/>
      <c r="R49" s="43" t="n"/>
      <c r="T49" s="43" t="n"/>
      <c r="V49" s="43" t="n"/>
      <c r="X49" s="43" t="n"/>
      <c r="Y49" s="43" t="n"/>
      <c r="Z49" s="43" t="n"/>
      <c r="AA49" s="43" t="n"/>
      <c r="AB49" s="43" t="n"/>
      <c r="AC49" s="43" t="n"/>
      <c r="AD49" s="43" t="n"/>
      <c r="AE49" s="43" t="n"/>
      <c r="AF49" s="43" t="n"/>
      <c r="AH49" s="43" t="n"/>
      <c r="AI49" s="43" t="n"/>
      <c r="AJ49" s="43" t="n"/>
      <c r="AK49" s="43" t="n"/>
      <c r="AL49" s="43" t="n"/>
      <c r="AN49" s="43" t="n"/>
      <c r="AO49" s="84" t="n"/>
      <c r="AP49" s="72" t="n"/>
      <c r="AQ49" s="72" t="n"/>
      <c r="AR49" s="43" t="n"/>
    </row>
    <row r="50" hidden="1" ht="24" customHeight="1">
      <c r="A50" s="53" t="n"/>
      <c r="B50" s="53" t="n"/>
      <c r="C50" s="53" t="n"/>
      <c r="D50" s="53" t="n"/>
      <c r="E50" s="53" t="n"/>
      <c r="F50" s="39" t="n"/>
      <c r="G50" s="25" t="n"/>
      <c r="H50" s="26" t="n"/>
      <c r="I50" s="53" t="n"/>
      <c r="J50" s="53" t="n"/>
      <c r="K50" s="44" t="n"/>
      <c r="M50" s="44" t="n"/>
      <c r="N50" s="44" t="n"/>
      <c r="O50" s="44" t="n"/>
      <c r="P50" s="44" t="n"/>
      <c r="Q50" s="44" t="n"/>
      <c r="R50" s="44" t="n"/>
      <c r="T50" s="44" t="n"/>
      <c r="V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H50" s="44" t="n"/>
      <c r="AI50" s="44" t="n"/>
      <c r="AJ50" s="44" t="n"/>
      <c r="AK50" s="44" t="n"/>
      <c r="AL50" s="44" t="n"/>
      <c r="AN50" s="44" t="n"/>
      <c r="AO50" s="84" t="n"/>
      <c r="AP50" s="74" t="n"/>
      <c r="AQ50" s="74" t="n"/>
      <c r="AR50" s="44" t="n"/>
    </row>
    <row r="51" hidden="1" ht="24" customHeight="1">
      <c r="A51" s="56" t="n"/>
      <c r="B51" s="56" t="n"/>
      <c r="C51" s="56" t="n"/>
      <c r="D51" s="56" t="n"/>
      <c r="E51" s="56" t="n"/>
      <c r="F51" s="39" t="n"/>
      <c r="G51" s="25" t="n"/>
      <c r="H51" s="26" t="n"/>
      <c r="I51" s="56" t="n"/>
      <c r="J51" s="56" t="n"/>
      <c r="K51" s="43" t="n"/>
      <c r="M51" s="43" t="n"/>
      <c r="N51" s="43" t="n"/>
      <c r="O51" s="43" t="n"/>
      <c r="P51" s="43" t="n"/>
      <c r="Q51" s="43" t="n"/>
      <c r="R51" s="43" t="n"/>
      <c r="T51" s="43" t="n"/>
      <c r="U51" s="43" t="n"/>
      <c r="V51" s="43" t="n"/>
      <c r="X51" s="43" t="n"/>
      <c r="Y51" s="43" t="n"/>
      <c r="Z51" s="43" t="n"/>
      <c r="AA51" s="43" t="n"/>
      <c r="AB51" s="43" t="n"/>
      <c r="AC51" s="43" t="n"/>
      <c r="AD51" s="43" t="n"/>
      <c r="AE51" s="43" t="n"/>
      <c r="AF51" s="43" t="n"/>
      <c r="AH51" s="43" t="n"/>
      <c r="AI51" s="43" t="n"/>
      <c r="AJ51" s="43" t="n"/>
      <c r="AK51" s="43" t="n"/>
      <c r="AL51" s="43" t="n"/>
      <c r="AN51" s="43" t="n"/>
      <c r="AO51" s="84" t="n"/>
      <c r="AP51" s="72" t="n"/>
      <c r="AQ51" s="72" t="n"/>
      <c r="AR51" s="43" t="n"/>
    </row>
    <row r="52" hidden="1" ht="24" customHeight="1">
      <c r="A52" s="53" t="n"/>
      <c r="B52" s="53" t="n"/>
      <c r="C52" s="53" t="n"/>
      <c r="D52" s="53" t="n"/>
      <c r="E52" s="53" t="n"/>
      <c r="F52" s="53" t="n"/>
      <c r="G52" s="53" t="n"/>
      <c r="H52" s="53" t="n"/>
      <c r="I52" s="53" t="n"/>
      <c r="J52" s="53" t="n"/>
      <c r="K52" s="44" t="n"/>
      <c r="Y52" s="44" t="n"/>
      <c r="Z52" s="44" t="n"/>
      <c r="AA52" s="44" t="n"/>
      <c r="AB52" s="44" t="n"/>
      <c r="AC52" s="44" t="n"/>
      <c r="AD52" s="44" t="n"/>
      <c r="AE52" s="44" t="n"/>
      <c r="AM52" s="44" t="n"/>
      <c r="AN52" s="44" t="n"/>
      <c r="AO52" s="74" t="n"/>
      <c r="AP52" s="74" t="n"/>
      <c r="AQ52" s="74" t="n"/>
      <c r="AR52" s="44" t="n"/>
    </row>
    <row r="53" hidden="1" ht="24" customHeight="1">
      <c r="A53" s="56" t="n"/>
      <c r="B53" s="56" t="n"/>
      <c r="C53" s="56" t="n"/>
      <c r="D53" s="56" t="n"/>
      <c r="E53" s="56" t="n"/>
      <c r="F53" s="39" t="n"/>
      <c r="G53" s="25" t="n"/>
      <c r="H53" s="26" t="n"/>
      <c r="I53" s="56" t="n"/>
      <c r="J53" s="56" t="n"/>
      <c r="K53" s="43" t="n"/>
      <c r="Y53" s="43" t="n"/>
      <c r="Z53" s="43" t="n"/>
      <c r="AA53" s="43" t="n"/>
      <c r="AB53" s="43" t="n"/>
      <c r="AC53" s="43" t="n"/>
      <c r="AD53" s="43" t="n"/>
      <c r="AE53" s="43" t="n"/>
      <c r="AM53" s="43" t="n"/>
      <c r="AN53" s="43" t="n"/>
      <c r="AO53" s="84" t="n"/>
      <c r="AP53" s="72" t="n"/>
      <c r="AQ53" s="72" t="n"/>
      <c r="AR53" s="43" t="n"/>
    </row>
    <row r="54" hidden="1" ht="24" customHeight="1">
      <c r="A54" s="11" t="n"/>
      <c r="B54" s="53" t="n"/>
      <c r="C54" s="53" t="n"/>
      <c r="D54" s="53" t="n"/>
      <c r="E54" s="53" t="n"/>
      <c r="F54" s="53" t="n"/>
      <c r="G54" s="53" t="n"/>
      <c r="H54" s="53" t="n"/>
      <c r="I54" s="53" t="n"/>
      <c r="J54" s="53" t="n"/>
      <c r="AM54" s="44" t="n"/>
      <c r="AN54" s="44" t="n"/>
      <c r="AO54" s="74" t="n"/>
      <c r="AP54" s="74" t="n"/>
      <c r="AQ54" s="74" t="n"/>
      <c r="AR54" s="44" t="n"/>
    </row>
    <row r="55" hidden="1" ht="24" customHeight="1">
      <c r="A55" s="43" t="n"/>
      <c r="B55" s="43" t="n"/>
      <c r="C55" s="43" t="n"/>
      <c r="D55" s="43" t="n"/>
      <c r="E55" s="43" t="n"/>
      <c r="F55" s="49" t="n"/>
      <c r="G55" s="27" t="n"/>
      <c r="H55" s="28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T55" s="43" t="n"/>
      <c r="U55" s="43" t="n"/>
      <c r="V55" s="43" t="n"/>
      <c r="X55" s="43" t="n"/>
      <c r="Y55" s="43" t="n"/>
      <c r="Z55" s="43" t="n"/>
      <c r="AA55" s="43" t="n"/>
      <c r="AB55" s="43" t="n"/>
      <c r="AC55" s="43" t="n"/>
      <c r="AD55" s="43" t="n"/>
      <c r="AE55" s="43" t="n"/>
      <c r="AF55" s="43" t="n"/>
      <c r="AG55" s="43" t="n"/>
      <c r="AH55" s="43" t="n"/>
      <c r="AI55" s="43" t="n"/>
      <c r="AJ55" s="43" t="n"/>
      <c r="AK55" s="43" t="n"/>
      <c r="AL55" s="43" t="n"/>
      <c r="AN55" s="43" t="n"/>
      <c r="AO55" s="78" t="n"/>
      <c r="AP55" s="78" t="n"/>
      <c r="AQ55" s="79" t="n"/>
      <c r="AR55" s="43" t="n"/>
    </row>
    <row r="56" hidden="1" ht="24" customHeight="1">
      <c r="A56" s="44" t="n"/>
      <c r="B56" s="44" t="n"/>
      <c r="C56" s="44" t="n"/>
      <c r="D56" s="44" t="n"/>
      <c r="E56" s="44" t="n"/>
      <c r="F56" s="49" t="n"/>
      <c r="G56" s="27" t="n"/>
      <c r="H56" s="28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T56" s="44" t="n"/>
      <c r="U56" s="44" t="n"/>
      <c r="V56" s="44" t="n"/>
      <c r="X56" s="44" t="n"/>
      <c r="Y56" s="44" t="n"/>
      <c r="Z56" s="44" t="n"/>
      <c r="AA56" s="44" t="n"/>
      <c r="AB56" s="44" t="n"/>
      <c r="AC56" s="44" t="n"/>
      <c r="AD56" s="44" t="n"/>
      <c r="AE56" s="44" t="n"/>
      <c r="AF56" s="44" t="n"/>
      <c r="AG56" s="44" t="n"/>
      <c r="AH56" s="44" t="n"/>
      <c r="AI56" s="44" t="n"/>
      <c r="AJ56" s="44" t="n"/>
      <c r="AK56" s="44" t="n"/>
      <c r="AL56" s="44" t="n"/>
      <c r="AN56" s="44" t="n"/>
      <c r="AO56" s="78" t="n"/>
      <c r="AP56" s="78" t="n"/>
      <c r="AQ56" s="80" t="n"/>
      <c r="AR56" s="44" t="n"/>
    </row>
    <row r="57" hidden="1" ht="24" customHeight="1">
      <c r="A57" s="43" t="n"/>
      <c r="B57" s="43" t="n"/>
      <c r="C57" s="43" t="n"/>
      <c r="D57" s="43" t="n"/>
      <c r="E57" s="43" t="n"/>
      <c r="F57" s="49" t="n"/>
      <c r="G57" s="27" t="n"/>
      <c r="H57" s="28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T57" s="43" t="n"/>
      <c r="V57" s="43" t="n"/>
      <c r="X57" s="43" t="n"/>
      <c r="Y57" s="43" t="n"/>
      <c r="Z57" s="43" t="n"/>
      <c r="AA57" s="43" t="n"/>
      <c r="AB57" s="43" t="n"/>
      <c r="AC57" s="43" t="n"/>
      <c r="AD57" s="43" t="n"/>
      <c r="AE57" s="43" t="n"/>
      <c r="AH57" s="43" t="n"/>
      <c r="AI57" s="43" t="n"/>
      <c r="AJ57" s="43" t="n"/>
      <c r="AK57" s="43" t="n"/>
      <c r="AL57" s="43" t="n"/>
      <c r="AN57" s="43" t="n"/>
      <c r="AO57" s="78" t="n"/>
      <c r="AP57" s="78" t="n"/>
      <c r="AQ57" s="79" t="n"/>
      <c r="AR57" s="43" t="n"/>
    </row>
    <row r="58" hidden="1" ht="24" customHeight="1">
      <c r="A58" s="44" t="n"/>
      <c r="B58" s="44" t="n"/>
      <c r="C58" s="44" t="n"/>
      <c r="D58" s="44" t="n"/>
      <c r="E58" s="44" t="n"/>
      <c r="F58" s="49" t="n"/>
      <c r="G58" s="27" t="n"/>
      <c r="H58" s="28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T58" s="44" t="n"/>
      <c r="V58" s="44" t="n"/>
      <c r="X58" s="44" t="n"/>
      <c r="Y58" s="44" t="n"/>
      <c r="Z58" s="44" t="n"/>
      <c r="AA58" s="44" t="n"/>
      <c r="AB58" s="44" t="n"/>
      <c r="AC58" s="44" t="n"/>
      <c r="AD58" s="44" t="n"/>
      <c r="AE58" s="44" t="n"/>
      <c r="AH58" s="44" t="n"/>
      <c r="AI58" s="44" t="n"/>
      <c r="AJ58" s="44" t="n"/>
      <c r="AK58" s="44" t="n"/>
      <c r="AL58" s="44" t="n"/>
      <c r="AN58" s="44" t="n"/>
      <c r="AO58" s="78" t="n"/>
      <c r="AP58" s="78" t="n"/>
      <c r="AQ58" s="80" t="n"/>
      <c r="AR58" s="44" t="n"/>
    </row>
    <row r="59" hidden="1" ht="24" customHeight="1">
      <c r="A59" s="43" t="n"/>
      <c r="B59" s="43" t="n"/>
      <c r="C59" s="43" t="n"/>
      <c r="D59" s="43" t="n"/>
      <c r="E59" s="43" t="n"/>
      <c r="F59" s="49" t="n"/>
      <c r="G59" s="27" t="n"/>
      <c r="H59" s="28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T59" s="43" t="n"/>
      <c r="V59" s="43" t="n"/>
      <c r="X59" s="43" t="n"/>
      <c r="Y59" s="43" t="n"/>
      <c r="Z59" s="43" t="n"/>
      <c r="AA59" s="43" t="n"/>
      <c r="AB59" s="43" t="n"/>
      <c r="AC59" s="43" t="n"/>
      <c r="AD59" s="43" t="n"/>
      <c r="AE59" s="43" t="n"/>
      <c r="AH59" s="43" t="n"/>
      <c r="AI59" s="43" t="n"/>
      <c r="AJ59" s="43" t="n"/>
      <c r="AK59" s="43" t="n"/>
      <c r="AL59" s="43" t="n"/>
      <c r="AN59" s="43" t="n"/>
      <c r="AO59" s="78" t="n"/>
      <c r="AP59" s="78" t="n"/>
      <c r="AQ59" s="79" t="n"/>
      <c r="AR59" s="43" t="n"/>
    </row>
    <row r="60" hidden="1" ht="24" customHeight="1">
      <c r="A60" s="44" t="n"/>
      <c r="B60" s="44" t="n"/>
      <c r="C60" s="44" t="n"/>
      <c r="D60" s="44" t="n"/>
      <c r="E60" s="44" t="n"/>
      <c r="F60" s="49" t="n"/>
      <c r="G60" s="27" t="n"/>
      <c r="H60" s="28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T60" s="44" t="n"/>
      <c r="V60" s="44" t="n"/>
      <c r="X60" s="44" t="n"/>
      <c r="Y60" s="44" t="n"/>
      <c r="Z60" s="44" t="n"/>
      <c r="AA60" s="44" t="n"/>
      <c r="AB60" s="44" t="n"/>
      <c r="AC60" s="44" t="n"/>
      <c r="AD60" s="44" t="n"/>
      <c r="AE60" s="44" t="n"/>
      <c r="AH60" s="44" t="n"/>
      <c r="AI60" s="44" t="n"/>
      <c r="AJ60" s="44" t="n"/>
      <c r="AK60" s="44" t="n"/>
      <c r="AL60" s="44" t="n"/>
      <c r="AN60" s="44" t="n"/>
      <c r="AO60" s="78" t="n"/>
      <c r="AP60" s="78" t="n"/>
      <c r="AQ60" s="80" t="n"/>
      <c r="AR60" s="44" t="n"/>
    </row>
    <row r="61" hidden="1" ht="24" customHeight="1">
      <c r="A61" s="43" t="n"/>
      <c r="B61" s="43" t="n"/>
      <c r="C61" s="43" t="n"/>
      <c r="D61" s="43" t="n"/>
      <c r="E61" s="43" t="n"/>
      <c r="F61" s="49" t="n"/>
      <c r="G61" s="27" t="n"/>
      <c r="H61" s="28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T61" s="43" t="n"/>
      <c r="V61" s="43" t="n"/>
      <c r="X61" s="43" t="n"/>
      <c r="Y61" s="43" t="n"/>
      <c r="Z61" s="43" t="n"/>
      <c r="AA61" s="43" t="n"/>
      <c r="AB61" s="43" t="n"/>
      <c r="AC61" s="43" t="n"/>
      <c r="AD61" s="43" t="n"/>
      <c r="AE61" s="43" t="n"/>
      <c r="AH61" s="43" t="n"/>
      <c r="AI61" s="43" t="n"/>
      <c r="AJ61" s="43" t="n"/>
      <c r="AK61" s="43" t="n"/>
      <c r="AL61" s="43" t="n"/>
      <c r="AN61" s="43" t="n"/>
      <c r="AO61" s="78" t="n"/>
      <c r="AP61" s="78" t="n"/>
      <c r="AQ61" s="79" t="n"/>
      <c r="AR61" s="43" t="n"/>
    </row>
    <row r="62" hidden="1" ht="24" customHeight="1">
      <c r="A62" s="44" t="n"/>
      <c r="B62" s="44" t="n"/>
      <c r="C62" s="44" t="n"/>
      <c r="D62" s="44" t="n"/>
      <c r="E62" s="44" t="n"/>
      <c r="F62" s="49" t="n"/>
      <c r="G62" s="27" t="n"/>
      <c r="H62" s="28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T62" s="44" t="n"/>
      <c r="V62" s="44" t="n"/>
      <c r="X62" s="44" t="n"/>
      <c r="Y62" s="44" t="n"/>
      <c r="Z62" s="44" t="n"/>
      <c r="AA62" s="44" t="n"/>
      <c r="AB62" s="44" t="n"/>
      <c r="AC62" s="44" t="n"/>
      <c r="AD62" s="44" t="n"/>
      <c r="AE62" s="44" t="n"/>
      <c r="AH62" s="44" t="n"/>
      <c r="AI62" s="44" t="n"/>
      <c r="AJ62" s="44" t="n"/>
      <c r="AK62" s="44" t="n"/>
      <c r="AL62" s="44" t="n"/>
      <c r="AN62" s="44" t="n"/>
      <c r="AO62" s="78" t="n"/>
      <c r="AP62" s="78" t="n"/>
      <c r="AQ62" s="80" t="n"/>
      <c r="AR62" s="44" t="n"/>
    </row>
    <row r="63" hidden="1" ht="24" customHeight="1">
      <c r="A63" s="43" t="n"/>
      <c r="B63" s="43" t="n"/>
      <c r="C63" s="43" t="n"/>
      <c r="D63" s="43" t="n"/>
      <c r="E63" s="43" t="n"/>
      <c r="F63" s="49" t="n"/>
      <c r="G63" s="27" t="n"/>
      <c r="H63" s="28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T63" s="43" t="n"/>
      <c r="V63" s="43" t="n"/>
      <c r="X63" s="43" t="n"/>
      <c r="Y63" s="43" t="n"/>
      <c r="Z63" s="43" t="n"/>
      <c r="AA63" s="43" t="n"/>
      <c r="AB63" s="43" t="n"/>
      <c r="AC63" s="43" t="n"/>
      <c r="AD63" s="43" t="n"/>
      <c r="AE63" s="43" t="n"/>
      <c r="AH63" s="43" t="n"/>
      <c r="AI63" s="43" t="n"/>
      <c r="AJ63" s="43" t="n"/>
      <c r="AK63" s="43" t="n"/>
      <c r="AL63" s="43" t="n"/>
      <c r="AN63" s="43" t="n"/>
      <c r="AO63" s="78" t="n"/>
      <c r="AP63" s="78" t="n"/>
      <c r="AQ63" s="79" t="n"/>
      <c r="AR63" s="43" t="n"/>
    </row>
    <row r="64" hidden="1" ht="24" customHeight="1">
      <c r="A64" s="44" t="n"/>
      <c r="B64" s="44" t="n"/>
      <c r="C64" s="44" t="n"/>
      <c r="D64" s="44" t="n"/>
      <c r="E64" s="44" t="n"/>
      <c r="F64" s="49" t="n"/>
      <c r="G64" s="27" t="n"/>
      <c r="H64" s="28" t="n"/>
      <c r="I64" s="44" t="n"/>
      <c r="J64" s="44" t="n"/>
      <c r="K64" s="44" t="n"/>
      <c r="L64" s="44" t="n"/>
      <c r="M64" s="44" t="n"/>
      <c r="N64" s="44" t="n"/>
      <c r="O64" s="44" t="n"/>
      <c r="P64" s="44" t="n"/>
      <c r="Q64" s="44" t="n"/>
      <c r="R64" s="44" t="n"/>
      <c r="T64" s="44" t="n"/>
      <c r="V64" s="44" t="n"/>
      <c r="X64" s="44" t="n"/>
      <c r="Y64" s="44" t="n"/>
      <c r="Z64" s="44" t="n"/>
      <c r="AA64" s="44" t="n"/>
      <c r="AB64" s="44" t="n"/>
      <c r="AC64" s="44" t="n"/>
      <c r="AD64" s="44" t="n"/>
      <c r="AE64" s="44" t="n"/>
      <c r="AH64" s="44" t="n"/>
      <c r="AI64" s="44" t="n"/>
      <c r="AJ64" s="44" t="n"/>
      <c r="AK64" s="44" t="n"/>
      <c r="AL64" s="44" t="n"/>
      <c r="AN64" s="44" t="n"/>
      <c r="AO64" s="78" t="n"/>
      <c r="AP64" s="78" t="n"/>
      <c r="AQ64" s="80" t="n"/>
      <c r="AR64" s="44" t="n"/>
    </row>
    <row r="65" hidden="1" ht="24" customHeight="1">
      <c r="A65" s="43" t="n"/>
      <c r="B65" s="43" t="n"/>
      <c r="C65" s="43" t="n"/>
      <c r="D65" s="43" t="n"/>
      <c r="E65" s="43" t="n"/>
      <c r="F65" s="49" t="n"/>
      <c r="G65" s="27" t="n"/>
      <c r="H65" s="28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T65" s="43" t="n"/>
      <c r="U65" s="43" t="n"/>
      <c r="V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H65" s="43" t="n"/>
      <c r="AI65" s="43" t="n"/>
      <c r="AJ65" s="43" t="n"/>
      <c r="AK65" s="43" t="n"/>
      <c r="AL65" s="43" t="n"/>
      <c r="AN65" s="43" t="n"/>
      <c r="AO65" s="78" t="n"/>
      <c r="AP65" s="78" t="n"/>
      <c r="AQ65" s="79" t="n"/>
      <c r="AR65" s="43" t="n"/>
    </row>
    <row r="66" hidden="1" ht="24" customHeight="1">
      <c r="A66" s="44" t="n"/>
      <c r="B66" s="44" t="n"/>
      <c r="C66" s="44" t="n"/>
      <c r="D66" s="44" t="n"/>
      <c r="E66" s="44" t="n"/>
      <c r="F66" s="49" t="n"/>
      <c r="G66" s="27" t="n"/>
      <c r="H66" s="28" t="n"/>
      <c r="I66" s="44" t="n"/>
      <c r="J66" s="44" t="n"/>
      <c r="K66" s="44" t="n"/>
      <c r="L66" s="44" t="n"/>
      <c r="M66" s="44" t="n"/>
      <c r="N66" s="44" t="n"/>
      <c r="O66" s="44" t="n"/>
      <c r="P66" s="44" t="n"/>
      <c r="Q66" s="44" t="n"/>
      <c r="R66" s="44" t="n"/>
      <c r="T66" s="44" t="n"/>
      <c r="V66" s="44" t="n"/>
      <c r="X66" s="44" t="n"/>
      <c r="Y66" s="44" t="n"/>
      <c r="Z66" s="44" t="n"/>
      <c r="AA66" s="44" t="n"/>
      <c r="AB66" s="44" t="n"/>
      <c r="AC66" s="44" t="n"/>
      <c r="AD66" s="44" t="n"/>
      <c r="AE66" s="44" t="n"/>
      <c r="AH66" s="44" t="n"/>
      <c r="AI66" s="44" t="n"/>
      <c r="AJ66" s="44" t="n"/>
      <c r="AK66" s="44" t="n"/>
      <c r="AL66" s="44" t="n"/>
      <c r="AN66" s="44" t="n"/>
      <c r="AO66" s="78" t="n"/>
      <c r="AP66" s="78" t="n"/>
      <c r="AQ66" s="80" t="n"/>
      <c r="AR66" s="44" t="n"/>
    </row>
    <row r="67" hidden="1" ht="24" customHeight="1">
      <c r="A67" s="43" t="n"/>
      <c r="B67" s="43" t="n"/>
      <c r="C67" s="43" t="n"/>
      <c r="D67" s="43" t="n"/>
      <c r="E67" s="43" t="n"/>
      <c r="F67" s="49" t="n"/>
      <c r="G67" s="27" t="n"/>
      <c r="H67" s="28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T67" s="43" t="n"/>
      <c r="V67" s="43" t="n"/>
      <c r="X67" s="43" t="n"/>
      <c r="Y67" s="43" t="n"/>
      <c r="Z67" s="43" t="n"/>
      <c r="AA67" s="43" t="n"/>
      <c r="AB67" s="43" t="n"/>
      <c r="AC67" s="43" t="n"/>
      <c r="AD67" s="43" t="n"/>
      <c r="AE67" s="43" t="n"/>
      <c r="AH67" s="43" t="n"/>
      <c r="AI67" s="43" t="n"/>
      <c r="AJ67" s="43" t="n"/>
      <c r="AK67" s="43" t="n"/>
      <c r="AL67" s="43" t="n"/>
      <c r="AN67" s="43" t="n"/>
      <c r="AO67" s="78" t="n"/>
      <c r="AP67" s="78" t="n"/>
      <c r="AQ67" s="79" t="n"/>
      <c r="AR67" s="43" t="n"/>
    </row>
    <row r="68" hidden="1" ht="24" customHeight="1">
      <c r="A68" s="44" t="n"/>
      <c r="B68" s="44" t="n"/>
      <c r="C68" s="44" t="n"/>
      <c r="D68" s="44" t="n"/>
      <c r="E68" s="44" t="n"/>
      <c r="F68" s="49" t="n"/>
      <c r="G68" s="27" t="n"/>
      <c r="H68" s="28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T68" s="44" t="n"/>
      <c r="V68" s="44" t="n"/>
      <c r="X68" s="44" t="n"/>
      <c r="Y68" s="44" t="n"/>
      <c r="Z68" s="44" t="n"/>
      <c r="AA68" s="44" t="n"/>
      <c r="AB68" s="44" t="n"/>
      <c r="AC68" s="44" t="n"/>
      <c r="AD68" s="44" t="n"/>
      <c r="AE68" s="44" t="n"/>
      <c r="AH68" s="44" t="n"/>
      <c r="AI68" s="44" t="n"/>
      <c r="AJ68" s="44" t="n"/>
      <c r="AK68" s="44" t="n"/>
      <c r="AL68" s="44" t="n"/>
      <c r="AN68" s="44" t="n"/>
      <c r="AO68" s="78" t="n"/>
      <c r="AP68" s="78" t="n"/>
      <c r="AQ68" s="80" t="n"/>
      <c r="AR68" s="44" t="n"/>
    </row>
    <row r="69" hidden="1" ht="24" customHeight="1">
      <c r="A69" s="43" t="n"/>
      <c r="B69" s="43" t="n"/>
      <c r="C69" s="43" t="n"/>
      <c r="D69" s="43" t="n"/>
      <c r="E69" s="43" t="n"/>
      <c r="F69" s="49" t="n"/>
      <c r="G69" s="27" t="n"/>
      <c r="H69" s="28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T69" s="43" t="n"/>
      <c r="V69" s="43" t="n"/>
      <c r="X69" s="43" t="n"/>
      <c r="Y69" s="43" t="n"/>
      <c r="Z69" s="43" t="n"/>
      <c r="AA69" s="43" t="n"/>
      <c r="AB69" s="43" t="n"/>
      <c r="AC69" s="43" t="n"/>
      <c r="AD69" s="43" t="n"/>
      <c r="AE69" s="43" t="n"/>
      <c r="AH69" s="43" t="n"/>
      <c r="AI69" s="43" t="n"/>
      <c r="AJ69" s="43" t="n"/>
      <c r="AK69" s="43" t="n"/>
      <c r="AL69" s="43" t="n"/>
      <c r="AN69" s="43" t="n"/>
      <c r="AO69" s="78" t="n"/>
      <c r="AP69" s="78" t="n"/>
      <c r="AQ69" s="79" t="n"/>
      <c r="AR69" s="43" t="n"/>
    </row>
    <row r="70" hidden="1" ht="24" customHeight="1">
      <c r="A70" s="44" t="n"/>
      <c r="B70" s="44" t="n"/>
      <c r="C70" s="44" t="n"/>
      <c r="D70" s="44" t="n"/>
      <c r="E70" s="44" t="n"/>
      <c r="F70" s="49" t="n"/>
      <c r="G70" s="27" t="n"/>
      <c r="H70" s="28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T70" s="44" t="n"/>
      <c r="V70" s="44" t="n"/>
      <c r="X70" s="44" t="n"/>
      <c r="Y70" s="44" t="n"/>
      <c r="Z70" s="44" t="n"/>
      <c r="AA70" s="44" t="n"/>
      <c r="AB70" s="44" t="n"/>
      <c r="AC70" s="44" t="n"/>
      <c r="AD70" s="44" t="n"/>
      <c r="AE70" s="44" t="n"/>
      <c r="AH70" s="44" t="n"/>
      <c r="AI70" s="44" t="n"/>
      <c r="AJ70" s="44" t="n"/>
      <c r="AK70" s="44" t="n"/>
      <c r="AL70" s="44" t="n"/>
      <c r="AN70" s="44" t="n"/>
      <c r="AO70" s="78" t="n"/>
      <c r="AP70" s="78" t="n"/>
      <c r="AQ70" s="80" t="n"/>
      <c r="AR70" s="44" t="n"/>
    </row>
    <row r="71" hidden="1" ht="24" customHeight="1">
      <c r="A71" s="43" t="n"/>
      <c r="B71" s="43" t="n"/>
      <c r="C71" s="43" t="n"/>
      <c r="D71" s="43" t="n"/>
      <c r="E71" s="43" t="n"/>
      <c r="F71" s="49" t="n"/>
      <c r="G71" s="27" t="n"/>
      <c r="H71" s="28" t="n"/>
      <c r="I71" s="4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n"/>
      <c r="T71" s="43" t="n"/>
      <c r="V71" s="43" t="n"/>
      <c r="X71" s="43" t="n"/>
      <c r="Y71" s="43" t="n"/>
      <c r="Z71" s="43" t="n"/>
      <c r="AA71" s="43" t="n"/>
      <c r="AB71" s="43" t="n"/>
      <c r="AC71" s="43" t="n"/>
      <c r="AD71" s="43" t="n"/>
      <c r="AE71" s="43" t="n"/>
      <c r="AH71" s="43" t="n"/>
      <c r="AI71" s="43" t="n"/>
      <c r="AJ71" s="43" t="n"/>
      <c r="AK71" s="43" t="n"/>
      <c r="AL71" s="43" t="n"/>
      <c r="AN71" s="43" t="n"/>
      <c r="AO71" s="78" t="n"/>
      <c r="AP71" s="78" t="n"/>
      <c r="AQ71" s="79" t="n"/>
      <c r="AR71" s="43" t="n"/>
    </row>
    <row r="72" hidden="1" ht="24" customHeight="1">
      <c r="A72" s="44" t="n"/>
      <c r="B72" s="44" t="n"/>
      <c r="C72" s="44" t="n"/>
      <c r="D72" s="44" t="n"/>
      <c r="E72" s="44" t="n"/>
      <c r="F72" s="49" t="n"/>
      <c r="G72" s="27" t="n"/>
      <c r="H72" s="28" t="n"/>
      <c r="I72" s="44" t="n"/>
      <c r="J72" s="44" t="n"/>
      <c r="K72" s="44" t="n"/>
      <c r="L72" s="44" t="n"/>
      <c r="M72" s="44" t="n"/>
      <c r="N72" s="44" t="n"/>
      <c r="O72" s="44" t="n"/>
      <c r="P72" s="44" t="n"/>
      <c r="Q72" s="44" t="n"/>
      <c r="R72" s="44" t="n"/>
      <c r="T72" s="44" t="n"/>
      <c r="V72" s="44" t="n"/>
      <c r="X72" s="44" t="n"/>
      <c r="Y72" s="44" t="n"/>
      <c r="Z72" s="44" t="n"/>
      <c r="AA72" s="44" t="n"/>
      <c r="AB72" s="44" t="n"/>
      <c r="AC72" s="44" t="n"/>
      <c r="AD72" s="44" t="n"/>
      <c r="AE72" s="44" t="n"/>
      <c r="AH72" s="44" t="n"/>
      <c r="AI72" s="44" t="n"/>
      <c r="AJ72" s="44" t="n"/>
      <c r="AK72" s="44" t="n"/>
      <c r="AL72" s="44" t="n"/>
      <c r="AN72" s="44" t="n"/>
      <c r="AO72" s="78" t="n"/>
      <c r="AP72" s="78" t="n"/>
      <c r="AQ72" s="80" t="n"/>
      <c r="AR72" s="44" t="n"/>
    </row>
    <row r="73" hidden="1" ht="24" customHeight="1">
      <c r="A73" s="43" t="n"/>
      <c r="B73" s="43" t="n"/>
      <c r="C73" s="43" t="n"/>
      <c r="D73" s="43" t="n"/>
      <c r="E73" s="43" t="n"/>
      <c r="F73" s="49" t="n"/>
      <c r="G73" s="27" t="n"/>
      <c r="H73" s="28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T73" s="43" t="n"/>
      <c r="U73" s="43" t="n"/>
      <c r="V73" s="43" t="n"/>
      <c r="X73" s="43" t="n"/>
      <c r="Y73" s="43" t="n"/>
      <c r="Z73" s="43" t="n"/>
      <c r="AA73" s="43" t="n"/>
      <c r="AB73" s="43" t="n"/>
      <c r="AC73" s="43" t="n"/>
      <c r="AD73" s="43" t="n"/>
      <c r="AE73" s="43" t="n"/>
      <c r="AH73" s="43" t="n"/>
      <c r="AI73" s="43" t="n"/>
      <c r="AJ73" s="43" t="n"/>
      <c r="AK73" s="43" t="n"/>
      <c r="AL73" s="43" t="n"/>
      <c r="AN73" s="43" t="n"/>
      <c r="AO73" s="78" t="n"/>
      <c r="AP73" s="78" t="n"/>
      <c r="AQ73" s="79" t="n"/>
      <c r="AR73" s="43" t="n"/>
    </row>
    <row r="74" hidden="1" ht="24" customHeight="1">
      <c r="A74" s="44" t="n"/>
      <c r="B74" s="44" t="n"/>
      <c r="C74" s="44" t="n"/>
      <c r="D74" s="44" t="n"/>
      <c r="E74" s="44" t="n"/>
      <c r="F74" s="49" t="n"/>
      <c r="G74" s="27" t="n"/>
      <c r="H74" s="28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T74" s="44" t="n"/>
      <c r="V74" s="44" t="n"/>
      <c r="X74" s="44" t="n"/>
      <c r="Y74" s="44" t="n"/>
      <c r="Z74" s="44" t="n"/>
      <c r="AA74" s="44" t="n"/>
      <c r="AB74" s="44" t="n"/>
      <c r="AC74" s="44" t="n"/>
      <c r="AD74" s="44" t="n"/>
      <c r="AE74" s="44" t="n"/>
      <c r="AH74" s="44" t="n"/>
      <c r="AI74" s="44" t="n"/>
      <c r="AJ74" s="44" t="n"/>
      <c r="AK74" s="44" t="n"/>
      <c r="AL74" s="44" t="n"/>
      <c r="AN74" s="44" t="n"/>
      <c r="AO74" s="78" t="n"/>
      <c r="AP74" s="78" t="n"/>
      <c r="AQ74" s="80" t="n"/>
      <c r="AR74" s="44" t="n"/>
    </row>
    <row r="75" hidden="1" ht="24" customHeight="1">
      <c r="A75" s="43" t="n"/>
      <c r="B75" s="43" t="n"/>
      <c r="C75" s="43" t="n"/>
      <c r="D75" s="43" t="n"/>
      <c r="E75" s="43" t="n"/>
      <c r="F75" s="49" t="n"/>
      <c r="G75" s="27" t="n"/>
      <c r="H75" s="28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T75" s="43" t="n"/>
      <c r="V75" s="43" t="n"/>
      <c r="X75" s="43" t="n"/>
      <c r="Y75" s="43" t="n"/>
      <c r="Z75" s="43" t="n"/>
      <c r="AA75" s="43" t="n"/>
      <c r="AB75" s="43" t="n"/>
      <c r="AC75" s="43" t="n"/>
      <c r="AD75" s="43" t="n"/>
      <c r="AE75" s="43" t="n"/>
      <c r="AH75" s="43" t="n"/>
      <c r="AI75" s="43" t="n"/>
      <c r="AJ75" s="43" t="n"/>
      <c r="AK75" s="43" t="n"/>
      <c r="AL75" s="43" t="n"/>
      <c r="AN75" s="43" t="n"/>
      <c r="AO75" s="78" t="n"/>
      <c r="AP75" s="78" t="n"/>
      <c r="AQ75" s="79" t="n"/>
      <c r="AR75" s="43" t="n"/>
    </row>
    <row r="76" hidden="1" ht="24" customHeight="1">
      <c r="A76" s="44" t="n"/>
      <c r="B76" s="44" t="n"/>
      <c r="C76" s="44" t="n"/>
      <c r="D76" s="44" t="n"/>
      <c r="E76" s="44" t="n"/>
      <c r="F76" s="49" t="n"/>
      <c r="G76" s="27" t="n"/>
      <c r="H76" s="28" t="n"/>
      <c r="I76" s="44" t="n"/>
      <c r="J76" s="44" t="n"/>
      <c r="K76" s="44" t="n"/>
      <c r="L76" s="44" t="n"/>
      <c r="M76" s="44" t="n"/>
      <c r="N76" s="44" t="n"/>
      <c r="O76" s="44" t="n"/>
      <c r="P76" s="44" t="n"/>
      <c r="Q76" s="44" t="n"/>
      <c r="R76" s="44" t="n"/>
      <c r="T76" s="44" t="n"/>
      <c r="V76" s="44" t="n"/>
      <c r="X76" s="44" t="n"/>
      <c r="Y76" s="44" t="n"/>
      <c r="Z76" s="44" t="n"/>
      <c r="AA76" s="44" t="n"/>
      <c r="AB76" s="44" t="n"/>
      <c r="AC76" s="44" t="n"/>
      <c r="AD76" s="44" t="n"/>
      <c r="AE76" s="44" t="n"/>
      <c r="AH76" s="44" t="n"/>
      <c r="AI76" s="44" t="n"/>
      <c r="AJ76" s="44" t="n"/>
      <c r="AK76" s="44" t="n"/>
      <c r="AL76" s="44" t="n"/>
      <c r="AN76" s="44" t="n"/>
      <c r="AO76" s="78" t="n"/>
      <c r="AP76" s="78" t="n"/>
      <c r="AQ76" s="80" t="n"/>
      <c r="AR76" s="44" t="n"/>
    </row>
    <row r="77" hidden="1" ht="24" customHeight="1">
      <c r="A77" s="43" t="n"/>
      <c r="B77" s="43" t="n"/>
      <c r="C77" s="43" t="n"/>
      <c r="D77" s="43" t="n"/>
      <c r="E77" s="43" t="n"/>
      <c r="F77" s="49" t="n"/>
      <c r="G77" s="27" t="n"/>
      <c r="H77" s="28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T77" s="43" t="n"/>
      <c r="V77" s="43" t="n"/>
      <c r="X77" s="43" t="n"/>
      <c r="Y77" s="43" t="n"/>
      <c r="Z77" s="43" t="n"/>
      <c r="AA77" s="43" t="n"/>
      <c r="AB77" s="43" t="n"/>
      <c r="AC77" s="43" t="n"/>
      <c r="AD77" s="43" t="n"/>
      <c r="AE77" s="43" t="n"/>
      <c r="AG77" s="43" t="n"/>
      <c r="AH77" s="43" t="n"/>
      <c r="AI77" s="43" t="n"/>
      <c r="AJ77" s="43" t="n"/>
      <c r="AK77" s="43" t="n"/>
      <c r="AL77" s="43" t="n"/>
      <c r="AN77" s="43" t="n"/>
      <c r="AO77" s="78" t="n"/>
      <c r="AP77" s="78" t="n"/>
      <c r="AQ77" s="79" t="n"/>
      <c r="AR77" s="43" t="n"/>
    </row>
    <row r="78" hidden="1" ht="24" customHeight="1">
      <c r="A78" s="44" t="n"/>
      <c r="B78" s="44" t="n"/>
      <c r="C78" s="44" t="n"/>
      <c r="D78" s="44" t="n"/>
      <c r="E78" s="44" t="n"/>
      <c r="F78" s="49" t="n"/>
      <c r="G78" s="27" t="n"/>
      <c r="H78" s="28" t="n"/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T78" s="44" t="n"/>
      <c r="U78" s="44" t="n"/>
      <c r="V78" s="44" t="n"/>
      <c r="X78" s="44" t="n"/>
      <c r="Y78" s="44" t="n"/>
      <c r="Z78" s="44" t="n"/>
      <c r="AA78" s="44" t="n"/>
      <c r="AB78" s="44" t="n"/>
      <c r="AC78" s="44" t="n"/>
      <c r="AD78" s="44" t="n"/>
      <c r="AE78" s="44" t="n"/>
      <c r="AH78" s="44" t="n"/>
      <c r="AI78" s="44" t="n"/>
      <c r="AJ78" s="44" t="n"/>
      <c r="AK78" s="44" t="n"/>
      <c r="AL78" s="44" t="n"/>
      <c r="AN78" s="44" t="n"/>
      <c r="AO78" s="78" t="n"/>
      <c r="AP78" s="78" t="n"/>
      <c r="AQ78" s="80" t="n"/>
      <c r="AR78" s="44" t="n"/>
    </row>
    <row r="79" hidden="1" ht="24" customHeight="1">
      <c r="A79" s="43" t="n"/>
      <c r="B79" s="43" t="n"/>
      <c r="C79" s="43" t="n"/>
      <c r="D79" s="43" t="n"/>
      <c r="E79" s="43" t="n"/>
      <c r="F79" s="49" t="n"/>
      <c r="G79" s="27" t="n"/>
      <c r="H79" s="28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T79" s="43" t="n"/>
      <c r="U79" s="43" t="n"/>
      <c r="V79" s="43" t="n"/>
      <c r="X79" s="43" t="n"/>
      <c r="Y79" s="43" t="n"/>
      <c r="Z79" s="43" t="n"/>
      <c r="AA79" s="43" t="n"/>
      <c r="AB79" s="43" t="n"/>
      <c r="AC79" s="43" t="n"/>
      <c r="AD79" s="43" t="n"/>
      <c r="AE79" s="43" t="n"/>
      <c r="AF79" s="43" t="n"/>
      <c r="AH79" s="43" t="n"/>
      <c r="AI79" s="43" t="n"/>
      <c r="AJ79" s="43" t="n"/>
      <c r="AK79" s="43" t="n"/>
      <c r="AL79" s="43" t="n"/>
      <c r="AN79" s="43" t="n"/>
      <c r="AO79" s="78" t="n"/>
      <c r="AP79" s="78" t="n"/>
      <c r="AQ79" s="79" t="n"/>
      <c r="AR79" s="43" t="n"/>
    </row>
    <row r="80" hidden="1" ht="24" customHeight="1">
      <c r="A80" s="44" t="n"/>
      <c r="B80" s="44" t="n"/>
      <c r="C80" s="44" t="n"/>
      <c r="D80" s="44" t="n"/>
      <c r="E80" s="44" t="n"/>
      <c r="F80" s="49" t="n"/>
      <c r="G80" s="27" t="n"/>
      <c r="H80" s="28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T80" s="44" t="n"/>
      <c r="V80" s="44" t="n"/>
      <c r="X80" s="44" t="n"/>
      <c r="Y80" s="44" t="n"/>
      <c r="Z80" s="44" t="n"/>
      <c r="AA80" s="44" t="n"/>
      <c r="AB80" s="44" t="n"/>
      <c r="AC80" s="44" t="n"/>
      <c r="AD80" s="44" t="n"/>
      <c r="AE80" s="44" t="n"/>
      <c r="AH80" s="44" t="n"/>
      <c r="AI80" s="44" t="n"/>
      <c r="AJ80" s="44" t="n"/>
      <c r="AK80" s="44" t="n"/>
      <c r="AL80" s="44" t="n"/>
      <c r="AN80" s="44" t="n"/>
      <c r="AO80" s="78" t="n"/>
      <c r="AP80" s="78" t="n"/>
      <c r="AQ80" s="80" t="n"/>
      <c r="AR80" s="44" t="n"/>
    </row>
    <row r="81" hidden="1" ht="24" customHeight="1">
      <c r="A81" s="43" t="n"/>
      <c r="B81" s="43" t="n"/>
      <c r="C81" s="43" t="n"/>
      <c r="D81" s="43" t="n"/>
      <c r="E81" s="43" t="n"/>
      <c r="F81" s="49" t="n"/>
      <c r="G81" s="27" t="n"/>
      <c r="H81" s="28" t="n"/>
      <c r="I81" s="4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T81" s="43" t="n"/>
      <c r="U81" s="43" t="n"/>
      <c r="V81" s="43" t="n"/>
      <c r="X81" s="43" t="n"/>
      <c r="Y81" s="43" t="n"/>
      <c r="Z81" s="43" t="n"/>
      <c r="AA81" s="43" t="n"/>
      <c r="AB81" s="43" t="n"/>
      <c r="AC81" s="43" t="n"/>
      <c r="AD81" s="43" t="n"/>
      <c r="AE81" s="43" t="n"/>
      <c r="AF81" s="43" t="n"/>
      <c r="AH81" s="43" t="n"/>
      <c r="AI81" s="43" t="n"/>
      <c r="AJ81" s="43" t="n"/>
      <c r="AK81" s="43" t="n"/>
      <c r="AL81" s="43" t="n"/>
      <c r="AN81" s="43" t="n"/>
      <c r="AO81" s="78" t="n"/>
      <c r="AP81" s="78" t="n"/>
      <c r="AQ81" s="79" t="n"/>
      <c r="AR81" s="43" t="n"/>
    </row>
    <row r="82" hidden="1" ht="24" customHeight="1">
      <c r="A82" s="44" t="n"/>
      <c r="B82" s="44" t="n"/>
      <c r="C82" s="44" t="n"/>
      <c r="D82" s="44" t="n"/>
      <c r="E82" s="44" t="n"/>
      <c r="F82" s="49" t="n"/>
      <c r="G82" s="27" t="n"/>
      <c r="H82" s="28" t="n"/>
      <c r="I82" s="44" t="n"/>
      <c r="J82" s="44" t="n"/>
      <c r="K82" s="44" t="n"/>
      <c r="L82" s="44" t="n"/>
      <c r="M82" s="44" t="n"/>
      <c r="N82" s="44" t="n"/>
      <c r="O82" s="44" t="n"/>
      <c r="P82" s="44" t="n"/>
      <c r="Q82" s="44" t="n"/>
      <c r="R82" s="44" t="n"/>
      <c r="T82" s="44" t="n"/>
      <c r="V82" s="44" t="n"/>
      <c r="X82" s="44" t="n"/>
      <c r="Y82" s="44" t="n"/>
      <c r="Z82" s="44" t="n"/>
      <c r="AA82" s="44" t="n"/>
      <c r="AB82" s="44" t="n"/>
      <c r="AC82" s="44" t="n"/>
      <c r="AD82" s="44" t="n"/>
      <c r="AE82" s="44" t="n"/>
      <c r="AF82" s="44" t="n"/>
      <c r="AG82" s="44" t="n"/>
      <c r="AH82" s="44" t="n"/>
      <c r="AI82" s="44" t="n"/>
      <c r="AJ82" s="44" t="n"/>
      <c r="AK82" s="44" t="n"/>
      <c r="AL82" s="44" t="n"/>
      <c r="AN82" s="44" t="n"/>
      <c r="AO82" s="78" t="n"/>
      <c r="AP82" s="78" t="n"/>
      <c r="AQ82" s="80" t="n"/>
      <c r="AR82" s="44" t="n"/>
    </row>
    <row r="83" hidden="1" ht="24" customHeight="1">
      <c r="A83" s="43" t="n"/>
      <c r="B83" s="43" t="n"/>
      <c r="C83" s="43" t="n"/>
      <c r="D83" s="43" t="n"/>
      <c r="E83" s="43" t="n"/>
      <c r="F83" s="49" t="n"/>
      <c r="G83" s="27" t="n"/>
      <c r="H83" s="28" t="n"/>
      <c r="I83" s="4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T83" s="43" t="n"/>
      <c r="U83" s="43" t="n"/>
      <c r="V83" s="43" t="n"/>
      <c r="X83" s="43" t="n"/>
      <c r="Y83" s="43" t="n"/>
      <c r="Z83" s="43" t="n"/>
      <c r="AA83" s="43" t="n"/>
      <c r="AB83" s="43" t="n"/>
      <c r="AC83" s="43" t="n"/>
      <c r="AD83" s="43" t="n"/>
      <c r="AE83" s="43" t="n"/>
      <c r="AF83" s="43" t="n"/>
      <c r="AH83" s="43" t="n"/>
      <c r="AI83" s="43" t="n"/>
      <c r="AJ83" s="43" t="n"/>
      <c r="AK83" s="43" t="n"/>
      <c r="AL83" s="43" t="n"/>
      <c r="AN83" s="43" t="n"/>
      <c r="AO83" s="78" t="n"/>
      <c r="AP83" s="78" t="n"/>
      <c r="AQ83" s="79" t="n"/>
      <c r="AR83" s="43" t="n"/>
    </row>
    <row r="84" hidden="1" ht="24" customHeight="1">
      <c r="A84" s="44" t="n"/>
      <c r="B84" s="44" t="n"/>
      <c r="C84" s="44" t="n"/>
      <c r="D84" s="44" t="n"/>
      <c r="E84" s="44" t="n"/>
      <c r="F84" s="49" t="n"/>
      <c r="G84" s="27" t="n"/>
      <c r="H84" s="28" t="n"/>
      <c r="I84" s="44" t="n"/>
      <c r="J84" s="44" t="n"/>
      <c r="K84" s="44" t="n"/>
      <c r="M84" s="44" t="n"/>
      <c r="N84" s="44" t="n"/>
      <c r="O84" s="44" t="n"/>
      <c r="P84" s="44" t="n"/>
      <c r="Q84" s="44" t="n"/>
      <c r="R84" s="44" t="n"/>
      <c r="T84" s="44" t="n"/>
      <c r="U84" s="44" t="n"/>
      <c r="V84" s="44" t="n"/>
      <c r="X84" s="44" t="n"/>
      <c r="Y84" s="44" t="n"/>
      <c r="Z84" s="44" t="n"/>
      <c r="AA84" s="44" t="n"/>
      <c r="AB84" s="44" t="n"/>
      <c r="AC84" s="44" t="n"/>
      <c r="AD84" s="44" t="n"/>
      <c r="AE84" s="44" t="n"/>
      <c r="AF84" s="44" t="n"/>
      <c r="AH84" s="44" t="n"/>
      <c r="AI84" s="44" t="n"/>
      <c r="AJ84" s="44" t="n"/>
      <c r="AK84" s="44" t="n"/>
      <c r="AL84" s="44" t="n"/>
      <c r="AN84" s="44" t="n"/>
      <c r="AO84" s="78" t="n"/>
      <c r="AP84" s="78" t="n"/>
      <c r="AQ84" s="80" t="n"/>
      <c r="AR84" s="44" t="n"/>
    </row>
    <row r="85" hidden="1" ht="24" customHeight="1">
      <c r="A85" s="43" t="n"/>
      <c r="B85" s="43" t="n"/>
      <c r="C85" s="43" t="n"/>
      <c r="D85" s="43" t="n"/>
      <c r="E85" s="43" t="n"/>
      <c r="F85" s="49" t="n"/>
      <c r="G85" s="27" t="n"/>
      <c r="H85" s="28" t="n"/>
      <c r="I85" s="43" t="n"/>
      <c r="J85" s="43" t="n"/>
      <c r="K85" s="43" t="n"/>
      <c r="M85" s="43" t="n"/>
      <c r="N85" s="43" t="n"/>
      <c r="O85" s="43" t="n"/>
      <c r="P85" s="43" t="n"/>
      <c r="Q85" s="43" t="n"/>
      <c r="R85" s="43" t="n"/>
      <c r="T85" s="43" t="n"/>
      <c r="U85" s="43" t="n"/>
      <c r="V85" s="43" t="n"/>
      <c r="X85" s="43" t="n"/>
      <c r="Y85" s="43" t="n"/>
      <c r="Z85" s="43" t="n"/>
      <c r="AA85" s="43" t="n"/>
      <c r="AB85" s="43" t="n"/>
      <c r="AC85" s="43" t="n"/>
      <c r="AD85" s="43" t="n"/>
      <c r="AE85" s="43" t="n"/>
      <c r="AF85" s="43" t="n"/>
      <c r="AH85" s="43" t="n"/>
      <c r="AI85" s="43" t="n"/>
      <c r="AJ85" s="43" t="n"/>
      <c r="AK85" s="43" t="n"/>
      <c r="AL85" s="43" t="n"/>
      <c r="AN85" s="43" t="n"/>
      <c r="AO85" s="78" t="n"/>
      <c r="AP85" s="78" t="n"/>
      <c r="AQ85" s="79" t="n"/>
      <c r="AR85" s="43" t="n"/>
    </row>
    <row r="86" hidden="1" ht="24" customHeight="1">
      <c r="A86" s="44" t="n"/>
      <c r="B86" s="44" t="n"/>
      <c r="C86" s="44" t="n"/>
      <c r="D86" s="44" t="n"/>
      <c r="E86" s="44" t="n"/>
      <c r="F86" s="49" t="n"/>
      <c r="G86" s="27" t="n"/>
      <c r="H86" s="28" t="n"/>
      <c r="I86" s="44" t="n"/>
      <c r="J86" s="44" t="n"/>
      <c r="K86" s="44" t="n"/>
      <c r="M86" s="44" t="n"/>
      <c r="N86" s="44" t="n"/>
      <c r="O86" s="44" t="n"/>
      <c r="P86" s="44" t="n"/>
      <c r="Q86" s="44" t="n"/>
      <c r="R86" s="44" t="n"/>
      <c r="T86" s="44" t="n"/>
      <c r="V86" s="44" t="n"/>
      <c r="X86" s="44" t="n"/>
      <c r="Y86" s="44" t="n"/>
      <c r="Z86" s="44" t="n"/>
      <c r="AA86" s="44" t="n"/>
      <c r="AB86" s="44" t="n"/>
      <c r="AC86" s="44" t="n"/>
      <c r="AD86" s="44" t="n"/>
      <c r="AE86" s="44" t="n"/>
      <c r="AF86" s="44" t="n"/>
      <c r="AH86" s="44" t="n"/>
      <c r="AI86" s="44" t="n"/>
      <c r="AJ86" s="44" t="n"/>
      <c r="AK86" s="44" t="n"/>
      <c r="AL86" s="44" t="n"/>
      <c r="AN86" s="44" t="n"/>
      <c r="AO86" s="78" t="n"/>
      <c r="AP86" s="78" t="n"/>
      <c r="AQ86" s="80" t="n"/>
      <c r="AR86" s="44" t="n"/>
    </row>
    <row r="87" hidden="1" ht="24" customHeight="1">
      <c r="A87" s="43" t="n"/>
      <c r="B87" s="43" t="n"/>
      <c r="C87" s="43" t="n"/>
      <c r="D87" s="43" t="n"/>
      <c r="E87" s="43" t="n"/>
      <c r="F87" s="49" t="n"/>
      <c r="G87" s="27" t="n"/>
      <c r="H87" s="28" t="n"/>
      <c r="I87" s="43" t="n"/>
      <c r="J87" s="43" t="n"/>
      <c r="K87" s="43" t="n"/>
      <c r="M87" s="43" t="n"/>
      <c r="N87" s="43" t="n"/>
      <c r="O87" s="43" t="n"/>
      <c r="P87" s="43" t="n"/>
      <c r="Q87" s="43" t="n"/>
      <c r="R87" s="43" t="n"/>
      <c r="T87" s="43" t="n"/>
      <c r="U87" s="43" t="n"/>
      <c r="V87" s="43" t="n"/>
      <c r="X87" s="43" t="n"/>
      <c r="Y87" s="43" t="n"/>
      <c r="Z87" s="43" t="n"/>
      <c r="AA87" s="43" t="n"/>
      <c r="AB87" s="43" t="n"/>
      <c r="AC87" s="43" t="n"/>
      <c r="AD87" s="43" t="n"/>
      <c r="AE87" s="43" t="n"/>
      <c r="AF87" s="43" t="n"/>
      <c r="AH87" s="43" t="n"/>
      <c r="AI87" s="43" t="n"/>
      <c r="AJ87" s="43" t="n"/>
      <c r="AK87" s="43" t="n"/>
      <c r="AL87" s="43" t="n"/>
      <c r="AN87" s="43" t="n"/>
      <c r="AO87" s="78" t="n"/>
      <c r="AP87" s="78" t="n"/>
      <c r="AQ87" s="79" t="n"/>
      <c r="AR87" s="43" t="n"/>
    </row>
    <row r="88" hidden="1" ht="24" customHeight="1">
      <c r="A88" s="44" t="n"/>
      <c r="B88" s="44" t="n"/>
      <c r="C88" s="44" t="n"/>
      <c r="D88" s="44" t="n"/>
      <c r="E88" s="44" t="n"/>
      <c r="F88" s="49" t="n"/>
      <c r="G88" s="27" t="n"/>
      <c r="H88" s="28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T88" s="44" t="n"/>
      <c r="U88" s="44" t="n"/>
      <c r="V88" s="44" t="n"/>
      <c r="X88" s="44" t="n"/>
      <c r="Y88" s="44" t="n"/>
      <c r="Z88" s="44" t="n"/>
      <c r="AA88" s="44" t="n"/>
      <c r="AB88" s="44" t="n"/>
      <c r="AC88" s="44" t="n"/>
      <c r="AD88" s="44" t="n"/>
      <c r="AE88" s="44" t="n"/>
      <c r="AF88" s="44" t="n"/>
      <c r="AH88" s="44" t="n"/>
      <c r="AI88" s="44" t="n"/>
      <c r="AJ88" s="44" t="n"/>
      <c r="AK88" s="44" t="n"/>
      <c r="AL88" s="44" t="n"/>
      <c r="AN88" s="44" t="n"/>
      <c r="AO88" s="78" t="n"/>
      <c r="AP88" s="78" t="n"/>
      <c r="AQ88" s="80" t="n"/>
      <c r="AR88" s="44" t="n"/>
    </row>
    <row r="89" hidden="1" ht="24" customHeight="1">
      <c r="A89" s="43" t="n"/>
      <c r="B89" s="43" t="n"/>
      <c r="C89" s="43" t="n"/>
      <c r="D89" s="43" t="n"/>
      <c r="E89" s="43" t="n"/>
      <c r="F89" s="49" t="n"/>
      <c r="G89" s="27" t="n"/>
      <c r="H89" s="28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T89" s="43" t="n"/>
      <c r="U89" s="43" t="n"/>
      <c r="V89" s="43" t="n"/>
      <c r="X89" s="43" t="n"/>
      <c r="Y89" s="43" t="n"/>
      <c r="Z89" s="43" t="n"/>
      <c r="AA89" s="43" t="n"/>
      <c r="AB89" s="43" t="n"/>
      <c r="AC89" s="43" t="n"/>
      <c r="AD89" s="43" t="n"/>
      <c r="AE89" s="43" t="n"/>
      <c r="AF89" s="43" t="n"/>
      <c r="AH89" s="43" t="n"/>
      <c r="AI89" s="43" t="n"/>
      <c r="AJ89" s="43" t="n"/>
      <c r="AK89" s="43" t="n"/>
      <c r="AL89" s="43" t="n"/>
      <c r="AN89" s="43" t="n"/>
      <c r="AO89" s="78" t="n"/>
      <c r="AP89" s="78" t="n"/>
      <c r="AQ89" s="79" t="n"/>
      <c r="AR89" s="43" t="n"/>
    </row>
    <row r="90" hidden="1" ht="24" customHeight="1">
      <c r="A90" s="44" t="n"/>
      <c r="B90" s="44" t="n"/>
      <c r="C90" s="44" t="n"/>
      <c r="D90" s="44" t="n"/>
      <c r="E90" s="44" t="n"/>
      <c r="F90" s="49" t="n"/>
      <c r="G90" s="27" t="n"/>
      <c r="H90" s="28" t="n"/>
      <c r="I90" s="44" t="n"/>
      <c r="J90" s="44" t="n"/>
      <c r="K90" s="44" t="n"/>
      <c r="M90" s="44" t="n"/>
      <c r="N90" s="44" t="n"/>
      <c r="O90" s="44" t="n"/>
      <c r="P90" s="44" t="n"/>
      <c r="Q90" s="44" t="n"/>
      <c r="R90" s="44" t="n"/>
      <c r="T90" s="44" t="n"/>
      <c r="U90" s="44" t="n"/>
      <c r="V90" s="44" t="n"/>
      <c r="X90" s="44" t="n"/>
      <c r="Y90" s="44" t="n"/>
      <c r="Z90" s="44" t="n"/>
      <c r="AA90" s="44" t="n"/>
      <c r="AB90" s="44" t="n"/>
      <c r="AC90" s="44" t="n"/>
      <c r="AD90" s="44" t="n"/>
      <c r="AE90" s="44" t="n"/>
      <c r="AH90" s="44" t="n"/>
      <c r="AI90" s="44" t="n"/>
      <c r="AJ90" s="44" t="n"/>
      <c r="AK90" s="44" t="n"/>
      <c r="AL90" s="44" t="n"/>
      <c r="AN90" s="44" t="n"/>
      <c r="AO90" s="78" t="n"/>
      <c r="AP90" s="78" t="n"/>
      <c r="AQ90" s="80" t="n"/>
      <c r="AR90" s="44" t="n"/>
    </row>
    <row r="91" hidden="1" ht="24" customHeight="1">
      <c r="A91" s="43" t="n"/>
      <c r="B91" s="43" t="n"/>
      <c r="C91" s="43" t="n"/>
      <c r="D91" s="43" t="n"/>
      <c r="E91" s="43" t="n"/>
      <c r="F91" s="49" t="n"/>
      <c r="G91" s="27" t="n"/>
      <c r="H91" s="28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T91" s="43" t="n"/>
      <c r="U91" s="43" t="n"/>
      <c r="V91" s="43" t="n"/>
      <c r="X91" s="43" t="n"/>
      <c r="Y91" s="43" t="n"/>
      <c r="Z91" s="43" t="n"/>
      <c r="AA91" s="43" t="n"/>
      <c r="AB91" s="43" t="n"/>
      <c r="AC91" s="43" t="n"/>
      <c r="AD91" s="43" t="n"/>
      <c r="AE91" s="43" t="n"/>
      <c r="AF91" s="43" t="n"/>
      <c r="AH91" s="43" t="n"/>
      <c r="AI91" s="43" t="n"/>
      <c r="AJ91" s="43" t="n"/>
      <c r="AK91" s="43" t="n"/>
      <c r="AL91" s="43" t="n"/>
      <c r="AN91" s="43" t="n"/>
      <c r="AO91" s="78" t="n"/>
      <c r="AP91" s="78" t="n"/>
      <c r="AQ91" s="79" t="n"/>
      <c r="AR91" s="43" t="n"/>
    </row>
    <row r="92" hidden="1" ht="24" customHeight="1">
      <c r="A92" s="44" t="n"/>
      <c r="B92" s="44" t="n"/>
      <c r="C92" s="44" t="n"/>
      <c r="D92" s="44" t="n"/>
      <c r="E92" s="44" t="n"/>
      <c r="F92" s="49" t="n"/>
      <c r="G92" s="27" t="n"/>
      <c r="H92" s="28" t="n"/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T92" s="44" t="n"/>
      <c r="U92" s="44" t="n"/>
      <c r="V92" s="44" t="n"/>
      <c r="X92" s="44" t="n"/>
      <c r="Y92" s="44" t="n"/>
      <c r="Z92" s="44" t="n"/>
      <c r="AA92" s="44" t="n"/>
      <c r="AB92" s="44" t="n"/>
      <c r="AC92" s="44" t="n"/>
      <c r="AD92" s="44" t="n"/>
      <c r="AE92" s="44" t="n"/>
      <c r="AF92" s="44" t="n"/>
      <c r="AG92" s="44" t="n"/>
      <c r="AH92" s="44" t="n"/>
      <c r="AI92" s="44" t="n"/>
      <c r="AJ92" s="44" t="n"/>
      <c r="AK92" s="44" t="n"/>
      <c r="AL92" s="44" t="n"/>
      <c r="AN92" s="44" t="n"/>
      <c r="AO92" s="78" t="n"/>
      <c r="AP92" s="78" t="n"/>
      <c r="AQ92" s="80" t="n"/>
      <c r="AR92" s="44" t="n"/>
    </row>
    <row r="93" hidden="1" ht="24" customHeight="1">
      <c r="A93" s="43" t="n"/>
      <c r="B93" s="43" t="n"/>
      <c r="C93" s="43" t="n"/>
      <c r="D93" s="43" t="n"/>
      <c r="E93" s="43" t="n"/>
      <c r="F93" s="49" t="n"/>
      <c r="G93" s="27" t="n"/>
      <c r="H93" s="28" t="n"/>
      <c r="I93" s="43" t="n"/>
      <c r="J93" s="43" t="n"/>
      <c r="K93" s="43" t="n"/>
      <c r="M93" s="43" t="n"/>
      <c r="N93" s="43" t="n"/>
      <c r="O93" s="43" t="n"/>
      <c r="P93" s="43" t="n"/>
      <c r="Q93" s="43" t="n"/>
      <c r="R93" s="43" t="n"/>
      <c r="T93" s="43" t="n"/>
      <c r="U93" s="43" t="n"/>
      <c r="V93" s="43" t="n"/>
      <c r="X93" s="43" t="n"/>
      <c r="Y93" s="43" t="n"/>
      <c r="Z93" s="43" t="n"/>
      <c r="AA93" s="43" t="n"/>
      <c r="AB93" s="43" t="n"/>
      <c r="AC93" s="43" t="n"/>
      <c r="AD93" s="43" t="n"/>
      <c r="AE93" s="43" t="n"/>
      <c r="AF93" s="43" t="n"/>
      <c r="AH93" s="43" t="n"/>
      <c r="AI93" s="43" t="n"/>
      <c r="AJ93" s="43" t="n"/>
      <c r="AK93" s="43" t="n"/>
      <c r="AL93" s="43" t="n"/>
      <c r="AN93" s="43" t="n"/>
      <c r="AO93" s="78" t="n"/>
      <c r="AP93" s="78" t="n"/>
      <c r="AQ93" s="79" t="n"/>
      <c r="AR93" s="43" t="n"/>
    </row>
    <row r="94" hidden="1" ht="24" customHeight="1">
      <c r="A94" s="44" t="n"/>
      <c r="B94" s="44" t="n"/>
      <c r="C94" s="44" t="n"/>
      <c r="D94" s="44" t="n"/>
      <c r="E94" s="44" t="n"/>
      <c r="F94" s="49" t="n"/>
      <c r="G94" s="27" t="n"/>
      <c r="H94" s="28" t="n"/>
      <c r="I94" s="44" t="n"/>
      <c r="J94" s="44" t="n"/>
      <c r="K94" s="44" t="n"/>
      <c r="M94" s="44" t="n"/>
      <c r="N94" s="44" t="n"/>
      <c r="O94" s="44" t="n"/>
      <c r="P94" s="44" t="n"/>
      <c r="Q94" s="44" t="n"/>
      <c r="R94" s="44" t="n"/>
      <c r="T94" s="44" t="n"/>
      <c r="U94" s="44" t="n"/>
      <c r="V94" s="44" t="n"/>
      <c r="X94" s="44" t="n"/>
      <c r="Y94" s="44" t="n"/>
      <c r="Z94" s="44" t="n"/>
      <c r="AA94" s="44" t="n"/>
      <c r="AB94" s="44" t="n"/>
      <c r="AC94" s="44" t="n"/>
      <c r="AD94" s="44" t="n"/>
      <c r="AE94" s="44" t="n"/>
      <c r="AH94" s="44" t="n"/>
      <c r="AI94" s="44" t="n"/>
      <c r="AJ94" s="44" t="n"/>
      <c r="AK94" s="44" t="n"/>
      <c r="AL94" s="44" t="n"/>
      <c r="AN94" s="44" t="n"/>
      <c r="AO94" s="78" t="n"/>
      <c r="AP94" s="78" t="n"/>
      <c r="AQ94" s="80" t="n"/>
      <c r="AR94" s="44" t="n"/>
    </row>
    <row r="95" hidden="1" ht="24" customHeight="1">
      <c r="A95" s="43" t="n"/>
      <c r="B95" s="43" t="n"/>
      <c r="C95" s="43" t="n"/>
      <c r="D95" s="43" t="n"/>
      <c r="E95" s="43" t="n"/>
      <c r="F95" s="49" t="n"/>
      <c r="G95" s="27" t="n"/>
      <c r="H95" s="28" t="n"/>
      <c r="I95" s="43" t="n"/>
      <c r="J95" s="43" t="n"/>
      <c r="K95" s="43" t="n"/>
      <c r="M95" s="43" t="n"/>
      <c r="N95" s="43" t="n"/>
      <c r="O95" s="43" t="n"/>
      <c r="P95" s="43" t="n"/>
      <c r="Q95" s="43" t="n"/>
      <c r="R95" s="43" t="n"/>
      <c r="T95" s="43" t="n"/>
      <c r="U95" s="43" t="n"/>
      <c r="V95" s="43" t="n"/>
      <c r="X95" s="43" t="n"/>
      <c r="Y95" s="43" t="n"/>
      <c r="Z95" s="43" t="n"/>
      <c r="AA95" s="43" t="n"/>
      <c r="AB95" s="43" t="n"/>
      <c r="AC95" s="43" t="n"/>
      <c r="AD95" s="43" t="n"/>
      <c r="AE95" s="43" t="n"/>
      <c r="AH95" s="43" t="n"/>
      <c r="AI95" s="43" t="n"/>
      <c r="AJ95" s="43" t="n"/>
      <c r="AK95" s="43" t="n"/>
      <c r="AL95" s="43" t="n"/>
      <c r="AN95" s="43" t="n"/>
      <c r="AO95" s="78" t="n"/>
      <c r="AP95" s="78" t="n"/>
      <c r="AQ95" s="79" t="n"/>
      <c r="AR95" s="43" t="n"/>
    </row>
    <row r="96" hidden="1" ht="24" customHeight="1">
      <c r="A96" s="44" t="n"/>
      <c r="B96" s="44" t="n"/>
      <c r="C96" s="44" t="n"/>
      <c r="D96" s="44" t="n"/>
      <c r="E96" s="44" t="n"/>
      <c r="F96" s="49" t="n"/>
      <c r="G96" s="27" t="n"/>
      <c r="H96" s="28" t="n"/>
      <c r="I96" s="44" t="n"/>
      <c r="J96" s="44" t="n"/>
      <c r="K96" s="44" t="n"/>
      <c r="M96" s="44" t="n"/>
      <c r="N96" s="44" t="n"/>
      <c r="O96" s="44" t="n"/>
      <c r="P96" s="44" t="n"/>
      <c r="Q96" s="44" t="n"/>
      <c r="R96" s="44" t="n"/>
      <c r="T96" s="44" t="n"/>
      <c r="U96" s="44" t="n"/>
      <c r="V96" s="44" t="n"/>
      <c r="X96" s="44" t="n"/>
      <c r="Y96" s="44" t="n"/>
      <c r="Z96" s="44" t="n"/>
      <c r="AA96" s="44" t="n"/>
      <c r="AB96" s="44" t="n"/>
      <c r="AC96" s="44" t="n"/>
      <c r="AD96" s="44" t="n"/>
      <c r="AE96" s="44" t="n"/>
      <c r="AF96" s="44" t="n"/>
      <c r="AH96" s="44" t="n"/>
      <c r="AI96" s="44" t="n"/>
      <c r="AJ96" s="44" t="n"/>
      <c r="AK96" s="44" t="n"/>
      <c r="AL96" s="44" t="n"/>
      <c r="AN96" s="44" t="n"/>
      <c r="AO96" s="78" t="n"/>
      <c r="AP96" s="78" t="n"/>
      <c r="AQ96" s="80" t="n"/>
      <c r="AR96" s="44" t="n"/>
    </row>
    <row r="97" ht="24" customHeight="1">
      <c r="A97" s="43" t="n"/>
      <c r="B97" s="43" t="n"/>
      <c r="C97" s="43" t="n"/>
      <c r="D97" s="43" t="n"/>
      <c r="E97" s="43" t="n"/>
      <c r="F97" s="49" t="n"/>
      <c r="G97" s="27" t="n"/>
      <c r="H97" s="28" t="n"/>
      <c r="I97" s="43" t="n"/>
      <c r="J97" s="43" t="n"/>
      <c r="K97" s="43" t="n"/>
      <c r="M97" s="43" t="n"/>
      <c r="N97" s="43" t="n"/>
      <c r="O97" s="43" t="n"/>
      <c r="P97" s="43" t="n"/>
      <c r="Q97" s="43" t="n"/>
      <c r="R97" s="43" t="n"/>
      <c r="T97" s="43" t="n"/>
      <c r="U97" s="43" t="n"/>
      <c r="V97" s="43" t="n"/>
      <c r="X97" s="43" t="n"/>
      <c r="Y97" s="43" t="n"/>
      <c r="Z97" s="43" t="n"/>
      <c r="AA97" s="43" t="n"/>
      <c r="AB97" s="43" t="n"/>
      <c r="AC97" s="43" t="n"/>
      <c r="AD97" s="43" t="n"/>
      <c r="AE97" s="43" t="n"/>
      <c r="AF97" s="43" t="n"/>
      <c r="AH97" s="43" t="n"/>
      <c r="AI97" s="43" t="n"/>
      <c r="AJ97" s="43" t="n"/>
      <c r="AK97" s="43" t="n"/>
      <c r="AL97" s="43" t="n"/>
      <c r="AN97" s="43" t="n"/>
      <c r="AQ97" s="79" t="n"/>
      <c r="AR97" s="43" t="n"/>
    </row>
    <row r="98" ht="24" customHeight="1">
      <c r="A98" s="44" t="n"/>
      <c r="B98" s="44" t="n"/>
      <c r="C98" s="44" t="n"/>
      <c r="D98" s="44" t="n"/>
      <c r="E98" s="44" t="n"/>
      <c r="F98" s="49" t="n"/>
      <c r="G98" s="27" t="n"/>
      <c r="H98" s="28" t="n"/>
      <c r="I98" s="44" t="n"/>
      <c r="J98" s="44" t="n"/>
      <c r="K98" s="44" t="n"/>
      <c r="M98" s="44" t="n"/>
      <c r="N98" s="44" t="n"/>
      <c r="O98" s="44" t="n"/>
      <c r="P98" s="44" t="n"/>
      <c r="Q98" s="44" t="n"/>
      <c r="R98" s="44" t="n"/>
      <c r="T98" s="44" t="n"/>
      <c r="U98" s="44" t="n"/>
      <c r="V98" s="44" t="n"/>
      <c r="X98" s="44" t="n"/>
      <c r="Y98" s="44" t="n"/>
      <c r="Z98" s="44" t="n"/>
      <c r="AA98" s="44" t="n"/>
      <c r="AB98" s="44" t="n"/>
      <c r="AC98" s="44" t="n"/>
      <c r="AD98" s="44" t="n"/>
      <c r="AE98" s="44" t="n"/>
      <c r="AF98" s="44" t="n"/>
      <c r="AH98" s="44" t="n"/>
      <c r="AI98" s="44" t="n"/>
      <c r="AJ98" s="44" t="n"/>
      <c r="AK98" s="44" t="n"/>
      <c r="AL98" s="44" t="n"/>
      <c r="AN98" s="44" t="n"/>
      <c r="AQ98" s="80" t="n"/>
      <c r="AR98" s="44" t="n"/>
    </row>
    <row r="99" ht="24" customHeight="1">
      <c r="A99" s="43" t="n"/>
      <c r="B99" s="43" t="n"/>
      <c r="C99" s="43" t="n"/>
      <c r="D99" s="43" t="n"/>
      <c r="E99" s="43" t="n"/>
      <c r="F99" s="49" t="n"/>
      <c r="G99" s="27" t="n"/>
      <c r="H99" s="28" t="n"/>
      <c r="I99" s="43" t="n"/>
      <c r="J99" s="43" t="n"/>
      <c r="K99" s="43" t="n"/>
      <c r="M99" s="43" t="n"/>
      <c r="N99" s="43" t="n"/>
      <c r="O99" s="43" t="n"/>
      <c r="P99" s="43" t="n"/>
      <c r="Q99" s="43" t="n"/>
      <c r="R99" s="43" t="n"/>
      <c r="T99" s="43" t="n"/>
      <c r="U99" s="43" t="n"/>
      <c r="V99" s="43" t="n"/>
      <c r="X99" s="43" t="n"/>
      <c r="Y99" s="43" t="n"/>
      <c r="Z99" s="43" t="n"/>
      <c r="AA99" s="43" t="n"/>
      <c r="AB99" s="43" t="n"/>
      <c r="AC99" s="43" t="n"/>
      <c r="AD99" s="43" t="n"/>
      <c r="AE99" s="43" t="n"/>
      <c r="AF99" s="43" t="n"/>
      <c r="AH99" s="43" t="n"/>
      <c r="AI99" s="43" t="n"/>
      <c r="AJ99" s="43" t="n"/>
      <c r="AK99" s="43" t="n"/>
      <c r="AL99" s="43" t="n"/>
      <c r="AN99" s="43" t="n"/>
      <c r="AQ99" s="79" t="n"/>
      <c r="AR99" s="43" t="n"/>
    </row>
    <row r="100" ht="24" customHeight="1">
      <c r="A100" s="44" t="n"/>
      <c r="B100" s="44" t="n"/>
      <c r="C100" s="44" t="n"/>
      <c r="D100" s="44" t="n"/>
      <c r="E100" s="44" t="n"/>
      <c r="F100" s="49" t="n"/>
      <c r="G100" s="27" t="n"/>
      <c r="H100" s="28" t="n"/>
      <c r="I100" s="44" t="n"/>
      <c r="J100" s="44" t="n"/>
      <c r="K100" s="44" t="n"/>
      <c r="M100" s="44" t="n"/>
      <c r="N100" s="44" t="n"/>
      <c r="O100" s="44" t="n"/>
      <c r="P100" s="44" t="n"/>
      <c r="Q100" s="44" t="n"/>
      <c r="R100" s="44" t="n"/>
      <c r="T100" s="44" t="n"/>
      <c r="V100" s="44" t="n"/>
      <c r="X100" s="44" t="n"/>
      <c r="Y100" s="44" t="n"/>
      <c r="Z100" s="44" t="n"/>
      <c r="AA100" s="44" t="n"/>
      <c r="AB100" s="44" t="n"/>
      <c r="AC100" s="44" t="n"/>
      <c r="AD100" s="44" t="n"/>
      <c r="AE100" s="44" t="n"/>
      <c r="AF100" s="44" t="n"/>
      <c r="AH100" s="44" t="n"/>
      <c r="AI100" s="44" t="n"/>
      <c r="AJ100" s="44" t="n"/>
      <c r="AK100" s="44" t="n"/>
      <c r="AL100" s="44" t="n"/>
      <c r="AN100" s="44" t="n"/>
      <c r="AQ100" s="80" t="n"/>
      <c r="AR100" s="44" t="n"/>
    </row>
    <row r="101" ht="24" customHeight="1">
      <c r="A101" s="43" t="n"/>
      <c r="B101" s="43" t="n"/>
      <c r="C101" s="43" t="n"/>
      <c r="D101" s="43" t="n"/>
      <c r="E101" s="43" t="n"/>
      <c r="F101" s="49" t="n"/>
      <c r="G101" s="27" t="n"/>
      <c r="H101" s="28" t="n"/>
      <c r="I101" s="43" t="n"/>
      <c r="J101" s="43" t="n"/>
      <c r="K101" s="43" t="n"/>
      <c r="M101" s="43" t="n"/>
      <c r="N101" s="43" t="n"/>
      <c r="O101" s="43" t="n"/>
      <c r="P101" s="43" t="n"/>
      <c r="Q101" s="43" t="n"/>
      <c r="R101" s="43" t="n"/>
      <c r="T101" s="43" t="n"/>
      <c r="V101" s="43" t="n"/>
      <c r="X101" s="43" t="n"/>
      <c r="Y101" s="43" t="n"/>
      <c r="Z101" s="43" t="n"/>
      <c r="AA101" s="43" t="n"/>
      <c r="AB101" s="43" t="n"/>
      <c r="AC101" s="43" t="n"/>
      <c r="AD101" s="43" t="n"/>
      <c r="AE101" s="43" t="n"/>
      <c r="AF101" s="43" t="n"/>
      <c r="AH101" s="43" t="n"/>
      <c r="AI101" s="43" t="n"/>
      <c r="AJ101" s="43" t="n"/>
      <c r="AK101" s="43" t="n"/>
      <c r="AL101" s="43" t="n"/>
      <c r="AN101" s="43" t="n"/>
      <c r="AQ101" s="79" t="n"/>
      <c r="AR101" s="43" t="n"/>
    </row>
    <row r="102" ht="24" customHeight="1">
      <c r="A102" s="44" t="n"/>
      <c r="B102" s="44" t="n"/>
      <c r="C102" s="44" t="n"/>
      <c r="D102" s="44" t="n"/>
      <c r="E102" s="44" t="n"/>
      <c r="F102" s="49" t="n"/>
      <c r="G102" s="27" t="n"/>
      <c r="H102" s="28" t="n"/>
      <c r="I102" s="44" t="n"/>
      <c r="J102" s="44" t="n"/>
      <c r="K102" s="44" t="n"/>
      <c r="M102" s="44" t="n"/>
      <c r="N102" s="44" t="n"/>
      <c r="O102" s="44" t="n"/>
      <c r="P102" s="44" t="n"/>
      <c r="Q102" s="44" t="n"/>
      <c r="R102" s="44" t="n"/>
      <c r="T102" s="44" t="n"/>
      <c r="V102" s="44" t="n"/>
      <c r="X102" s="44" t="n"/>
      <c r="Y102" s="44" t="n"/>
      <c r="Z102" s="44" t="n"/>
      <c r="AA102" s="44" t="n"/>
      <c r="AB102" s="44" t="n"/>
      <c r="AC102" s="44" t="n"/>
      <c r="AD102" s="44" t="n"/>
      <c r="AE102" s="44" t="n"/>
      <c r="AF102" s="44" t="n"/>
      <c r="AH102" s="44" t="n"/>
      <c r="AI102" s="44" t="n"/>
      <c r="AJ102" s="44" t="n"/>
      <c r="AK102" s="44" t="n"/>
      <c r="AL102" s="44" t="n"/>
      <c r="AN102" s="44" t="n"/>
      <c r="AQ102" s="80" t="n"/>
      <c r="AR102" s="44" t="n"/>
    </row>
    <row r="103" ht="24" customHeight="1">
      <c r="A103" s="43" t="n"/>
      <c r="B103" s="43" t="n"/>
      <c r="C103" s="43" t="n"/>
      <c r="D103" s="43" t="n"/>
      <c r="E103" s="43" t="n"/>
      <c r="F103" s="49" t="n"/>
      <c r="G103" s="27" t="n"/>
      <c r="H103" s="28" t="n"/>
      <c r="I103" s="43" t="n"/>
      <c r="J103" s="43" t="n"/>
      <c r="K103" s="43" t="n"/>
      <c r="M103" s="43" t="n"/>
      <c r="N103" s="43" t="n"/>
      <c r="O103" s="43" t="n"/>
      <c r="P103" s="43" t="n"/>
      <c r="Q103" s="43" t="n"/>
      <c r="R103" s="43" t="n"/>
      <c r="T103" s="43" t="n"/>
      <c r="U103" s="43" t="n"/>
      <c r="V103" s="43" t="n"/>
      <c r="X103" s="43" t="n"/>
      <c r="Y103" s="43" t="n"/>
      <c r="Z103" s="43" t="n"/>
      <c r="AA103" s="43" t="n"/>
      <c r="AB103" s="43" t="n"/>
      <c r="AC103" s="43" t="n"/>
      <c r="AD103" s="43" t="n"/>
      <c r="AE103" s="43" t="n"/>
      <c r="AF103" s="43" t="n"/>
      <c r="AH103" s="43" t="n"/>
      <c r="AI103" s="43" t="n"/>
      <c r="AJ103" s="43" t="n"/>
      <c r="AK103" s="43" t="n"/>
      <c r="AL103" s="43" t="n"/>
      <c r="AN103" s="43" t="n"/>
      <c r="AQ103" s="79" t="n"/>
      <c r="AR103" s="43" t="n"/>
    </row>
    <row r="104" ht="30" customHeight="1">
      <c r="AQ104" s="78" t="n"/>
    </row>
    <row r="105" ht="30" customHeight="1">
      <c r="AQ105" s="78" t="n"/>
    </row>
    <row r="106" ht="30" customHeight="1">
      <c r="AQ106" s="78" t="n"/>
    </row>
    <row r="107" ht="30" customHeight="1">
      <c r="AQ107" s="78" t="n"/>
    </row>
    <row r="108" ht="30" customHeight="1">
      <c r="AQ108" s="78" t="n"/>
    </row>
    <row r="109" ht="30" customHeight="1">
      <c r="AQ109" s="78" t="n"/>
    </row>
    <row r="110" ht="30" customHeight="1">
      <c r="AQ110" s="78" t="n"/>
    </row>
    <row r="111" ht="30" customHeight="1">
      <c r="AQ111" s="78" t="n"/>
    </row>
    <row r="112" ht="30" customHeight="1">
      <c r="AQ112" s="78" t="n"/>
    </row>
    <row r="113" ht="30" customHeight="1">
      <c r="AQ113" s="78" t="n"/>
    </row>
    <row r="114" ht="30" customHeight="1">
      <c r="AQ114" s="78" t="n"/>
    </row>
    <row r="115" ht="30" customHeight="1">
      <c r="AQ115" s="78" t="n"/>
    </row>
    <row r="116" ht="30" customHeight="1">
      <c r="AQ116" s="78" t="n"/>
    </row>
    <row r="117" ht="30" customHeight="1">
      <c r="AQ117" s="78" t="n"/>
    </row>
    <row r="118" ht="30" customHeight="1">
      <c r="AQ118" s="78" t="n"/>
    </row>
    <row r="119" ht="30" customHeight="1">
      <c r="AQ119" s="78" t="n"/>
    </row>
    <row r="120" ht="30" customHeight="1">
      <c r="AQ120" s="78" t="n"/>
    </row>
    <row r="121" ht="30" customHeight="1">
      <c r="AQ121" s="78" t="n"/>
    </row>
    <row r="122" ht="30" customHeight="1">
      <c r="AQ122" s="78" t="n"/>
    </row>
    <row r="123" ht="30" customHeight="1">
      <c r="AQ123" s="85" t="n"/>
    </row>
    <row r="124" ht="30" customHeight="1">
      <c r="AQ124" s="85" t="n"/>
    </row>
    <row r="125" hidden="1" ht="30" customHeight="1">
      <c r="AO125" s="85" t="n"/>
      <c r="AP125" s="85" t="n"/>
      <c r="AQ125" s="85" t="n"/>
    </row>
    <row r="126" ht="30" customHeight="1">
      <c r="AQ126" s="85" t="n"/>
    </row>
    <row r="127" ht="30" customHeight="1">
      <c r="AQ127" s="85" t="n"/>
    </row>
    <row r="128" hidden="1" ht="30" customHeight="1">
      <c r="AQ128" s="85" t="n"/>
    </row>
    <row r="129" ht="30" customHeight="1">
      <c r="A129" s="56" t="n"/>
      <c r="B129" s="56" t="n"/>
      <c r="C129" s="56" t="n"/>
      <c r="D129" s="56" t="n"/>
      <c r="E129" s="56" t="n"/>
      <c r="F129" s="39" t="n"/>
      <c r="G129" s="25" t="n"/>
      <c r="H129" s="26" t="n"/>
      <c r="I129" s="56" t="n"/>
      <c r="J129" s="56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T129" s="43" t="n"/>
      <c r="U129" s="43" t="n"/>
      <c r="V129" s="43" t="n"/>
      <c r="X129" s="43" t="n"/>
      <c r="Y129" s="43" t="n"/>
      <c r="Z129" s="43" t="n"/>
      <c r="AA129" s="43" t="n"/>
      <c r="AB129" s="43" t="n"/>
      <c r="AC129" s="43" t="n"/>
      <c r="AD129" s="43" t="n"/>
      <c r="AE129" s="43" t="n"/>
      <c r="AF129" s="43" t="n"/>
      <c r="AG129" s="43" t="n"/>
      <c r="AH129" s="43" t="n"/>
      <c r="AI129" s="43" t="n"/>
      <c r="AJ129" s="43" t="n"/>
      <c r="AK129" s="43" t="n"/>
      <c r="AL129" s="43" t="n"/>
      <c r="AN129" s="43" t="n"/>
      <c r="AO129" s="84" t="n"/>
      <c r="AP129" s="72" t="n"/>
      <c r="AQ129" s="72" t="n"/>
      <c r="AR129" s="43" t="n"/>
    </row>
    <row r="130" ht="30" customHeight="1">
      <c r="A130" s="56" t="n"/>
      <c r="B130" s="56" t="n"/>
      <c r="C130" s="56" t="n"/>
      <c r="D130" s="56" t="n"/>
      <c r="E130" s="56" t="n"/>
      <c r="F130" s="39" t="n"/>
      <c r="G130" s="25" t="n"/>
      <c r="H130" s="26" t="n"/>
      <c r="I130" s="56" t="n"/>
      <c r="J130" s="56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T130" s="43" t="n"/>
      <c r="U130" s="43" t="n"/>
      <c r="V130" s="43" t="n"/>
      <c r="X130" s="43" t="n"/>
      <c r="Y130" s="43" t="n"/>
      <c r="Z130" s="43" t="n"/>
      <c r="AA130" s="43" t="n"/>
      <c r="AB130" s="43" t="n"/>
      <c r="AC130" s="43" t="n"/>
      <c r="AD130" s="43" t="n"/>
      <c r="AE130" s="43" t="n"/>
      <c r="AF130" s="43" t="n"/>
      <c r="AG130" s="43" t="n"/>
      <c r="AH130" s="43" t="n"/>
      <c r="AI130" s="43" t="n"/>
      <c r="AJ130" s="43" t="n"/>
      <c r="AK130" s="43" t="n"/>
      <c r="AL130" s="43" t="n"/>
      <c r="AN130" s="43" t="n"/>
      <c r="AO130" s="84" t="n"/>
      <c r="AP130" s="72" t="n"/>
      <c r="AQ130" s="72" t="n"/>
      <c r="AR130" s="43" t="n"/>
    </row>
    <row r="131" ht="30" customHeight="1">
      <c r="A131" s="56" t="n"/>
      <c r="B131" s="56" t="n"/>
      <c r="C131" s="56" t="n"/>
      <c r="D131" s="56" t="n"/>
      <c r="E131" s="56" t="n"/>
      <c r="F131" s="39" t="n"/>
      <c r="G131" s="25" t="n"/>
      <c r="H131" s="26" t="n"/>
      <c r="I131" s="56" t="n"/>
      <c r="J131" s="56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T131" s="43" t="n"/>
      <c r="U131" s="43" t="n"/>
      <c r="V131" s="43" t="n"/>
      <c r="X131" s="43" t="n"/>
      <c r="Y131" s="43" t="n"/>
      <c r="Z131" s="43" t="n"/>
      <c r="AA131" s="43" t="n"/>
      <c r="AB131" s="43" t="n"/>
      <c r="AC131" s="43" t="n"/>
      <c r="AD131" s="43" t="n"/>
      <c r="AE131" s="43" t="n"/>
      <c r="AF131" s="43" t="n"/>
      <c r="AG131" s="43" t="n"/>
      <c r="AH131" s="43" t="n"/>
      <c r="AI131" s="43" t="n"/>
      <c r="AJ131" s="43" t="n"/>
      <c r="AK131" s="43" t="n"/>
      <c r="AL131" s="43" t="n"/>
      <c r="AN131" s="43" t="n"/>
      <c r="AO131" s="84" t="n"/>
      <c r="AP131" s="72" t="n"/>
      <c r="AQ131" s="72" t="n"/>
      <c r="AR131" s="43" t="n"/>
    </row>
    <row r="132" ht="30" customHeight="1">
      <c r="A132" s="56" t="n"/>
      <c r="B132" s="56" t="n"/>
      <c r="C132" s="56" t="n"/>
      <c r="D132" s="56" t="n"/>
      <c r="E132" s="56" t="n"/>
      <c r="F132" s="39" t="n"/>
      <c r="G132" s="25" t="n"/>
      <c r="H132" s="26" t="n"/>
      <c r="I132" s="56" t="n"/>
      <c r="J132" s="56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T132" s="43" t="n"/>
      <c r="U132" s="43" t="n"/>
      <c r="V132" s="43" t="n"/>
      <c r="X132" s="43" t="n"/>
      <c r="Y132" s="43" t="n"/>
      <c r="Z132" s="43" t="n"/>
      <c r="AA132" s="43" t="n"/>
      <c r="AB132" s="43" t="n"/>
      <c r="AC132" s="43" t="n"/>
      <c r="AD132" s="43" t="n"/>
      <c r="AE132" s="43" t="n"/>
      <c r="AF132" s="43" t="n"/>
      <c r="AG132" s="43" t="n"/>
      <c r="AH132" s="43" t="n"/>
      <c r="AI132" s="43" t="n"/>
      <c r="AJ132" s="43" t="n"/>
      <c r="AK132" s="43" t="n"/>
      <c r="AL132" s="43" t="n"/>
      <c r="AN132" s="43" t="n"/>
      <c r="AO132" s="84" t="n"/>
      <c r="AP132" s="72" t="n"/>
      <c r="AQ132" s="72" t="n"/>
      <c r="AR132" s="43" t="n"/>
    </row>
    <row r="133" ht="30" customHeight="1">
      <c r="A133" s="56" t="n"/>
      <c r="B133" s="56" t="n"/>
      <c r="C133" s="56" t="n"/>
      <c r="D133" s="56" t="n"/>
      <c r="E133" s="56" t="n"/>
      <c r="F133" s="39" t="n"/>
      <c r="G133" s="25" t="n"/>
      <c r="H133" s="26" t="n"/>
      <c r="I133" s="56" t="n"/>
      <c r="J133" s="56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T133" s="43" t="n"/>
      <c r="U133" s="43" t="n"/>
      <c r="V133" s="43" t="n"/>
      <c r="X133" s="43" t="n"/>
      <c r="Y133" s="43" t="n"/>
      <c r="Z133" s="43" t="n"/>
      <c r="AA133" s="43" t="n"/>
      <c r="AB133" s="43" t="n"/>
      <c r="AC133" s="43" t="n"/>
      <c r="AD133" s="43" t="n"/>
      <c r="AE133" s="43" t="n"/>
      <c r="AF133" s="43" t="n"/>
      <c r="AG133" s="43" t="n"/>
      <c r="AH133" s="43" t="n"/>
      <c r="AI133" s="43" t="n"/>
      <c r="AJ133" s="43" t="n"/>
      <c r="AK133" s="43" t="n"/>
      <c r="AL133" s="43" t="n"/>
      <c r="AN133" s="43" t="n"/>
      <c r="AO133" s="84" t="n"/>
      <c r="AP133" s="72" t="n"/>
      <c r="AQ133" s="72" t="n"/>
      <c r="AR133" s="43" t="n"/>
    </row>
    <row r="134" hidden="1" ht="30" customHeight="1">
      <c r="A134" s="56" t="n"/>
      <c r="B134" s="56" t="n"/>
      <c r="C134" s="56" t="n"/>
      <c r="D134" s="56" t="n"/>
      <c r="E134" s="56" t="n"/>
      <c r="F134" s="39" t="n"/>
      <c r="G134" s="25" t="n"/>
      <c r="H134" s="26" t="n"/>
      <c r="I134" s="56" t="n"/>
      <c r="J134" s="56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T134" s="43" t="n"/>
      <c r="U134" s="43" t="n"/>
      <c r="V134" s="43" t="n"/>
      <c r="X134" s="43" t="n"/>
      <c r="Y134" s="43" t="n"/>
      <c r="Z134" s="43" t="n"/>
      <c r="AA134" s="43" t="n"/>
      <c r="AB134" s="43" t="n"/>
      <c r="AC134" s="43" t="n"/>
      <c r="AD134" s="43" t="n"/>
      <c r="AE134" s="43" t="n"/>
      <c r="AF134" s="43" t="n"/>
      <c r="AG134" s="43" t="n"/>
      <c r="AH134" s="43" t="n"/>
      <c r="AI134" s="43" t="n"/>
      <c r="AJ134" s="43" t="n"/>
      <c r="AK134" s="43" t="n"/>
      <c r="AL134" s="43" t="n"/>
      <c r="AN134" s="43" t="n"/>
      <c r="AO134" s="84" t="n"/>
      <c r="AP134" s="72" t="n"/>
      <c r="AQ134" s="72" t="n"/>
      <c r="AR134" s="43" t="n"/>
    </row>
    <row r="135" ht="30" customHeight="1">
      <c r="A135" s="56" t="n"/>
      <c r="B135" s="56" t="n"/>
      <c r="C135" s="56" t="n"/>
      <c r="D135" s="56" t="n"/>
      <c r="E135" s="56" t="n"/>
      <c r="F135" s="39" t="n"/>
      <c r="G135" s="25" t="n"/>
      <c r="H135" s="26" t="n"/>
      <c r="I135" s="56" t="n"/>
      <c r="J135" s="56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T135" s="43" t="n"/>
      <c r="U135" s="43" t="n"/>
      <c r="V135" s="43" t="n"/>
      <c r="X135" s="43" t="n"/>
      <c r="Y135" s="43" t="n"/>
      <c r="Z135" s="43" t="n"/>
      <c r="AA135" s="43" t="n"/>
      <c r="AB135" s="43" t="n"/>
      <c r="AC135" s="43" t="n"/>
      <c r="AD135" s="43" t="n"/>
      <c r="AE135" s="43" t="n"/>
      <c r="AF135" s="43" t="n"/>
      <c r="AG135" s="43" t="n"/>
      <c r="AH135" s="43" t="n"/>
      <c r="AI135" s="43" t="n"/>
      <c r="AJ135" s="43" t="n"/>
      <c r="AK135" s="43" t="n"/>
      <c r="AL135" s="43" t="n"/>
      <c r="AN135" s="43" t="n"/>
      <c r="AO135" s="84" t="n"/>
      <c r="AP135" s="72" t="n"/>
      <c r="AQ135" s="72" t="n"/>
      <c r="AR135" s="43" t="n"/>
    </row>
    <row r="136" ht="30" customHeight="1">
      <c r="A136" s="56" t="n"/>
      <c r="B136" s="56" t="n"/>
      <c r="C136" s="56" t="n"/>
      <c r="D136" s="56" t="n"/>
      <c r="E136" s="56" t="n"/>
      <c r="F136" s="39" t="n"/>
      <c r="G136" s="25" t="n"/>
      <c r="H136" s="26" t="n"/>
      <c r="I136" s="56" t="n"/>
      <c r="J136" s="56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T136" s="43" t="n"/>
      <c r="U136" s="43" t="n"/>
      <c r="V136" s="43" t="n"/>
      <c r="X136" s="43" t="n"/>
      <c r="Y136" s="43" t="n"/>
      <c r="Z136" s="43" t="n"/>
      <c r="AA136" s="43" t="n"/>
      <c r="AB136" s="43" t="n"/>
      <c r="AC136" s="43" t="n"/>
      <c r="AD136" s="43" t="n"/>
      <c r="AE136" s="43" t="n"/>
      <c r="AF136" s="43" t="n"/>
      <c r="AG136" s="43" t="n"/>
      <c r="AH136" s="43" t="n"/>
      <c r="AI136" s="43" t="n"/>
      <c r="AJ136" s="43" t="n"/>
      <c r="AK136" s="43" t="n"/>
      <c r="AL136" s="43" t="n"/>
      <c r="AN136" s="43" t="n"/>
      <c r="AO136" s="84" t="n"/>
      <c r="AP136" s="72" t="n"/>
      <c r="AQ136" s="72" t="n"/>
      <c r="AR136" s="43" t="n"/>
    </row>
    <row r="137" hidden="1" ht="30" customHeight="1">
      <c r="A137" s="56" t="n"/>
      <c r="B137" s="56" t="n"/>
      <c r="C137" s="56" t="n"/>
      <c r="D137" s="56" t="n"/>
      <c r="E137" s="56" t="n"/>
      <c r="F137" s="39" t="n"/>
      <c r="G137" s="25" t="n"/>
      <c r="H137" s="26" t="n"/>
      <c r="I137" s="56" t="n"/>
      <c r="J137" s="56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T137" s="43" t="n"/>
      <c r="U137" s="43" t="n"/>
      <c r="V137" s="43" t="n"/>
      <c r="X137" s="43" t="n"/>
      <c r="Y137" s="43" t="n"/>
      <c r="Z137" s="43" t="n"/>
      <c r="AA137" s="43" t="n"/>
      <c r="AB137" s="43" t="n"/>
      <c r="AC137" s="43" t="n"/>
      <c r="AD137" s="43" t="n"/>
      <c r="AE137" s="43" t="n"/>
      <c r="AF137" s="43" t="n"/>
      <c r="AG137" s="43" t="n"/>
      <c r="AH137" s="43" t="n"/>
      <c r="AI137" s="43" t="n"/>
      <c r="AJ137" s="43" t="n"/>
      <c r="AK137" s="43" t="n"/>
      <c r="AL137" s="43" t="n"/>
      <c r="AN137" s="43" t="n"/>
      <c r="AO137" s="84" t="n"/>
      <c r="AP137" s="72" t="n"/>
      <c r="AQ137" s="72" t="n"/>
      <c r="AR137" s="43" t="n"/>
    </row>
    <row r="138" hidden="1" ht="30" customHeight="1">
      <c r="A138" s="56" t="n"/>
      <c r="B138" s="56" t="n"/>
      <c r="C138" s="56" t="n"/>
      <c r="D138" s="56" t="n"/>
      <c r="E138" s="56" t="n"/>
      <c r="F138" s="39" t="n"/>
      <c r="G138" s="25" t="n"/>
      <c r="H138" s="26" t="n"/>
      <c r="I138" s="56" t="n"/>
      <c r="J138" s="56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T138" s="43" t="n"/>
      <c r="U138" s="43" t="n"/>
      <c r="V138" s="43" t="n"/>
      <c r="X138" s="43" t="n"/>
      <c r="Y138" s="43" t="n"/>
      <c r="Z138" s="43" t="n"/>
      <c r="AA138" s="43" t="n"/>
      <c r="AB138" s="43" t="n"/>
      <c r="AC138" s="43" t="n"/>
      <c r="AD138" s="43" t="n"/>
      <c r="AE138" s="43" t="n"/>
      <c r="AF138" s="43" t="n"/>
      <c r="AG138" s="43" t="n"/>
      <c r="AH138" s="43" t="n"/>
      <c r="AI138" s="43" t="n"/>
      <c r="AJ138" s="43" t="n"/>
      <c r="AK138" s="43" t="n"/>
      <c r="AL138" s="43" t="n"/>
      <c r="AN138" s="43" t="n"/>
      <c r="AO138" s="84" t="n"/>
      <c r="AP138" s="72" t="n"/>
      <c r="AQ138" s="72" t="n"/>
      <c r="AR138" s="43" t="n"/>
    </row>
    <row r="139" hidden="1" ht="30" customHeight="1">
      <c r="A139" s="56" t="n"/>
      <c r="B139" s="56" t="n"/>
      <c r="C139" s="56" t="n"/>
      <c r="D139" s="56" t="n"/>
      <c r="E139" s="56" t="n"/>
      <c r="F139" s="39" t="n"/>
      <c r="G139" s="25" t="n"/>
      <c r="H139" s="26" t="n"/>
      <c r="I139" s="56" t="n"/>
      <c r="J139" s="56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T139" s="43" t="n"/>
      <c r="U139" s="43" t="n"/>
      <c r="V139" s="43" t="n"/>
      <c r="X139" s="43" t="n"/>
      <c r="Y139" s="43" t="n"/>
      <c r="Z139" s="43" t="n"/>
      <c r="AA139" s="43" t="n"/>
      <c r="AB139" s="43" t="n"/>
      <c r="AC139" s="43" t="n"/>
      <c r="AD139" s="43" t="n"/>
      <c r="AE139" s="43" t="n"/>
      <c r="AF139" s="43" t="n"/>
      <c r="AG139" s="43" t="n"/>
      <c r="AH139" s="43" t="n"/>
      <c r="AI139" s="43" t="n"/>
      <c r="AJ139" s="43" t="n"/>
      <c r="AK139" s="43" t="n"/>
      <c r="AL139" s="43" t="n"/>
      <c r="AN139" s="43" t="n"/>
      <c r="AO139" s="84" t="n"/>
      <c r="AP139" s="72" t="n"/>
      <c r="AQ139" s="72" t="n"/>
      <c r="AR139" s="43" t="n"/>
    </row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4">
    <mergeCell ref="A1:J1"/>
    <mergeCell ref="AN1:AR1"/>
    <mergeCell ref="K1:V1"/>
    <mergeCell ref="W1:AM1"/>
  </mergeCells>
  <conditionalFormatting sqref="E3:E502">
    <cfRule type="containsText" priority="18" operator="containsText" dxfId="9" text="ACCEPT"/>
    <cfRule type="containsText" priority="19" operator="containsText" dxfId="8" text="REJECT"/>
    <cfRule type="containsText" priority="20" operator="containsText" dxfId="7" text="PENDING"/>
  </conditionalFormatting>
  <conditionalFormatting sqref="F3:F54">
    <cfRule type="containsText" priority="51" operator="containsText" dxfId="18" text="PENDING"/>
    <cfRule type="containsText" priority="52" operator="containsText" dxfId="17" text="APPLY"/>
    <cfRule type="containsText" priority="55" operator="containsText" dxfId="5" text="RETURN"/>
  </conditionalFormatting>
  <conditionalFormatting sqref="G3:G502">
    <cfRule type="containsText" priority="1" operator="containsText" dxfId="2" text="PENDING"/>
    <cfRule type="containsText" priority="2" operator="containsText" dxfId="4" text="ACCEPT"/>
    <cfRule type="containsText" priority="4" operator="containsText" dxfId="1" text="REJECT"/>
    <cfRule type="containsText" priority="12" operator="containsText" dxfId="9" text="ACCEPT"/>
    <cfRule type="containsText" priority="13" operator="containsText" dxfId="8" text="REJECT"/>
    <cfRule type="containsText" priority="14" operator="containsText" dxfId="7" text="PENDING"/>
    <cfRule type="containsText" priority="15" operator="containsText" dxfId="9" text="ACCEPT"/>
    <cfRule type="containsText" priority="16" operator="containsText" dxfId="8" text="REJECT"/>
    <cfRule type="containsText" priority="17" operator="containsText" dxfId="7" text="PENDING"/>
  </conditionalFormatting>
  <conditionalFormatting sqref="I3:I54">
    <cfRule type="containsText" priority="58" operator="containsText" dxfId="6" text="PENDING"/>
    <cfRule type="containsText" priority="59" operator="containsText" dxfId="5" text="WAITING"/>
  </conditionalFormatting>
  <conditionalFormatting sqref="K3:K502">
    <cfRule type="containsText" priority="6" operator="containsText" dxfId="4" text="APPLIED"/>
    <cfRule type="containsText" priority="7" operator="containsText" dxfId="3" text="REJECTED"/>
    <cfRule type="containsText" priority="8" operator="containsText" dxfId="2" text="PENDING"/>
    <cfRule type="containsText" priority="10" operator="containsText" dxfId="1" text="NEEDS_REPLAN"/>
    <cfRule type="containsText" priority="11" operator="containsText" dxfId="0" text="QUEUED"/>
  </conditionalFormatting>
  <dataValidations count="22">
    <dataValidation sqref="E3:E502 G3:G502" showDropDown="0" showInputMessage="0" showErrorMessage="0" allowBlank="0" type="list">
      <formula1>"PENDING,ACCEPT,REJECT,CORRECT,INCORRECT"</formula1>
    </dataValidation>
    <dataValidation sqref="T3:T502" showDropDown="0" showInputMessage="0" showErrorMessage="0" allowBlank="0" type="list">
      <formula1>"CURRENT,SUPERSEDED,WITHDRAWN"</formula1>
    </dataValidation>
    <dataValidation sqref="U3:U502 AE3:AE502" showDropDown="0" showInputMessage="0" showErrorMessage="0" allowBlank="0" type="list">
      <formula1>"Law,Regulation,Permit / authority decision,Technical standard,Scheme standard,Interpretation document,Audit / assessment document,Equipment manual / OEM instruction,Design / engineering document,Internal policy / contract,Other"</formula1>
    </dataValidation>
    <dataValidation sqref="V3:V502 AF3:AF502" showDropDown="0" showInputMessage="0" showErrorMessage="0" allowBlank="0" type="list">
      <formula1>"Public authority,Standards body,Certification scheme,Manufacturer / supplier,Project / engineering,Client / internal,Pending classification"</formula1>
    </dataValidation>
    <dataValidation sqref="W3:W502 AG3:AG502" showDropDown="0" showInputMessage="0" showErrorMessage="0" allowBlank="0" type="list">
      <formula1>"Primary normative,Referenced normative,Asset-specific normative,Guidance / interpretation,Audit / assessment tool,Context / evidence,Draft working material"</formula1>
    </dataValidation>
    <dataValidation sqref="X3:X502 AH3:AH502" showDropDown="0" showInputMessage="0" showErrorMessage="0" allowBlank="0" type="list">
      <formula1>"English,Norwegian,Other"</formula1>
    </dataValidation>
    <dataValidation sqref="Y3:Y502 AI3:AI502" showDropDown="0" showInputMessage="0" showErrorMessage="0" allowBlank="0" type="list">
      <formula1>"html,pdf,xlsx,zip"</formula1>
    </dataValidation>
    <dataValidation sqref="M3:Q502 AC3:AH502" showDropDown="0" showInputMessage="0" showErrorMessage="0" allowBlank="0" type="list">
      <formula1>"LOW,MEDIUM,HIGH"</formula1>
    </dataValidation>
    <dataValidation sqref="AJ3:AJ502 AN3:AN502" showDropDown="0" showInputMessage="0" showErrorMessage="0" allowBlank="0" type="list">
      <formula1>"OFFICIAL_WEBSITE,CLIENT_OR_SITE,SUPPLIER_OR_INTEGRATOR,INTERNAL_REPOSITORY,OTHER"</formula1>
    </dataValidation>
    <dataValidation sqref="AK3:AK502 AO3:AO502" showDropDown="0" showInputMessage="0" showErrorMessage="0" allowBlank="0" type="list">
      <formula1>"OFFICIAL_ORIGINAL,AUTHORISED_COPY,CLIENT_PROVIDED_COPY,UNVERIFIED"</formula1>
    </dataValidation>
    <dataValidation sqref="AL3:AL502 AP3:AP502" showDropDown="0" showInputMessage="0" showErrorMessage="0" allowBlank="0" type="list">
      <formula1>"VERSIONED,ROLLING,UNKNOWN"</formula1>
    </dataValidation>
    <dataValidation sqref="R3:R502" showDropDown="0" showInputMessage="0" showErrorMessage="0" allowBlank="0" type="list">
      <formula1>"INCLUDE,PENDING,EXCLUDE"</formula1>
    </dataValidation>
    <dataValidation sqref="AD3:AD502" showDropDown="0" showInputMessage="0" showErrorMessage="0" allowBlank="0" type="list">
      <formula1>"Norway,EU / EEA,International,Multi-jurisdiction,Site-specific,Other"</formula1>
    </dataValidation>
    <dataValidation sqref="F3:F51" showDropDown="0" showInputMessage="0" showErrorMessage="0" allowBlank="0" type="list">
      <formula1>"PENDING,APPLY,RETURN"</formula1>
    </dataValidation>
    <dataValidation sqref="F55:F56 F81:F105 F120 F122" showDropDown="0" showInputMessage="1" showErrorMessage="1" allowBlank="0" errorTitle="Invalid operator action" error="Choose one of: PENDING, APPLY, RETURN" promptTitle="Operator action" prompt="Allowed actions for SOURCE_REVIEW: PENDING, APPLY, RETURN" type="list">
      <formula1>"PENDING,APPLY,RETURN"</formula1>
    </dataValidation>
    <dataValidation sqref="F57:F80 F106:F119 F121" showDropDown="0" showInputMessage="1" showErrorMessage="1" allowBlank="0" errorTitle="Invalid operator action" error="Choose one of: PENDING, APPLY, RETURN" promptTitle="Operator action" prompt="Allowed actions for SELECTION_REVIEW: PENDING, APPLY, RETURN" type="list">
      <formula1>"PENDING,APPLY,RETURN"</formula1>
    </dataValidation>
    <dataValidation sqref="F123" showDropDown="0" showInputMessage="1" showErrorMessage="1" allowBlank="0" errorTitle="Invalid operator action" error="Choose one of: PENDING, CORRECT, INCORRECT" promptTitle="Operator action" prompt="Allowed actions for RANDOM_QA_CHECK: PENDING, CORRECT, INCORRECT" type="list">
      <formula1>"PENDING,CORRECT,INCORRECT"</formula1>
    </dataValidation>
    <dataValidation sqref="F124" showDropDown="0" showInputMessage="1" showErrorMessage="1" allowBlank="0" errorTitle="Invalid operator action" error="Choose one of: PENDING, CORRECT, INCORRECT" promptTitle="Operator action" prompt="Allowed actions for RANDOM_QA_CHECK: PENDING, CORRECT, INCORRECT" type="list">
      <formula1>"PENDING,CORRECT,INCORRECT"</formula1>
    </dataValidation>
    <dataValidation sqref="F125" showDropDown="0" showInputMessage="1" showErrorMessage="1" allowBlank="0" errorTitle="Invalid operator action" error="Choose one of: PENDING, CORRECT, INCORRECT" promptTitle="Operator action" prompt="Allowed actions for RANDOM_QA_CHECK: PENDING, CORRECT, INCORRECT" type="list">
      <formula1>"PENDING,CORRECT,INCORRECT"</formula1>
    </dataValidation>
    <dataValidation sqref="F126" showDropDown="0" showInputMessage="1" showErrorMessage="1" allowBlank="0" errorTitle="Invalid operator action" error="Choose one of: PENDING, CORRECT, INCORRECT" promptTitle="Operator action" prompt="Allowed actions for RANDOM_QA_CHECK: PENDING, CORRECT, INCORRECT" type="list">
      <formula1>"PENDING,CORRECT,INCORRECT"</formula1>
    </dataValidation>
    <dataValidation sqref="F127" showDropDown="0" showInputMessage="1" showErrorMessage="1" allowBlank="0" errorTitle="Invalid operator action" error="Choose one of: PENDING, CORRECT, INCORRECT" promptTitle="Operator action" prompt="Allowed actions for RANDOM_QA_CHECK: PENDING, CORRECT, INCORRECT" type="list">
      <formula1>"PENDING,CORRECT,INCORRECT"</formula1>
    </dataValidation>
    <dataValidation sqref="F128" showDropDown="0" showInputMessage="1" showErrorMessage="1" allowBlank="0" errorTitle="Invalid operator action" error="Choose one of: PENDING" promptTitle="Operator action" prompt="Allowed actions for RANDOM_QA_BATCH_SUMMARY: PENDING" type="list">
      <formula1>"PENDING"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0" tabSelected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38" customWidth="1" min="7" max="7"/>
    <col width="38" customWidth="1" min="8" max="8"/>
    <col width="38" customWidth="1" min="9" max="9"/>
    <col hidden="1" width="38" customWidth="1" min="10" max="10"/>
    <col hidden="1" width="38" customWidth="1" min="11" max="11"/>
    <col hidden="1" width="38" customWidth="1" min="12" max="12"/>
  </cols>
  <sheetData>
    <row r="1" ht="45" customHeight="1">
      <c r="A1" s="93" t="inlineStr">
        <is>
          <t>Source ID</t>
        </is>
      </c>
      <c r="B1" s="93" t="inlineStr">
        <is>
          <t>Authority Quality confidence</t>
        </is>
      </c>
      <c r="C1" s="93" t="inlineStr">
        <is>
          <t>Scope Relevance confidence</t>
        </is>
      </c>
      <c r="D1" s="93" t="inlineStr">
        <is>
          <t>Version Currency confidence</t>
        </is>
      </c>
      <c r="E1" s="93" t="inlineStr">
        <is>
          <t>Traceability confidence</t>
        </is>
      </c>
      <c r="F1" s="93" t="inlineStr">
        <is>
          <t>Access Permission confidence</t>
        </is>
      </c>
      <c r="G1" s="93" t="inlineStr">
        <is>
          <t>Calibration status</t>
        </is>
      </c>
      <c r="H1" s="93" t="inlineStr">
        <is>
          <t>Policy revision</t>
        </is>
      </c>
      <c r="I1" s="93" t="inlineStr">
        <is>
          <t>Threshold</t>
        </is>
      </c>
      <c r="J1" s="93" t="inlineStr">
        <is>
          <t>Source SHA256</t>
        </is>
      </c>
      <c r="K1" s="93" t="inlineStr">
        <is>
          <t>Assessment ID</t>
        </is>
      </c>
      <c r="L1" s="93" t="inlineStr">
        <is>
          <t>Assessment method / evidence</t>
        </is>
      </c>
    </row>
    <row r="2">
      <c r="A2" s="94" t="n"/>
      <c r="B2" s="95" t="n"/>
      <c r="C2" s="95" t="n"/>
      <c r="D2" s="95" t="n"/>
      <c r="E2" s="95" t="n"/>
      <c r="F2" s="95" t="n"/>
      <c r="G2" s="94" t="n"/>
      <c r="H2" s="94" t="n"/>
      <c r="I2" s="95" t="n"/>
      <c r="J2" s="94" t="n"/>
      <c r="K2" s="94" t="n"/>
      <c r="L2" s="94" t="n"/>
    </row>
    <row r="3">
      <c r="A3" s="94" t="n"/>
      <c r="B3" s="95" t="n"/>
      <c r="C3" s="95" t="n"/>
      <c r="D3" s="95" t="n"/>
      <c r="E3" s="95" t="n"/>
      <c r="F3" s="95" t="n"/>
      <c r="G3" s="94" t="n"/>
      <c r="H3" s="94" t="n"/>
      <c r="I3" s="95" t="n"/>
      <c r="J3" s="94" t="n"/>
      <c r="K3" s="94" t="n"/>
      <c r="L3" s="94" t="n"/>
    </row>
    <row r="4">
      <c r="A4" s="94" t="n"/>
      <c r="B4" s="95" t="n"/>
      <c r="C4" s="95" t="n"/>
      <c r="D4" s="95" t="n"/>
      <c r="E4" s="95" t="n"/>
      <c r="F4" s="95" t="n"/>
      <c r="G4" s="94" t="n"/>
      <c r="H4" s="94" t="n"/>
      <c r="I4" s="95" t="n"/>
      <c r="J4" s="94" t="n"/>
      <c r="K4" s="94" t="n"/>
      <c r="L4" s="94" t="n"/>
    </row>
    <row r="5">
      <c r="A5" s="94" t="n"/>
      <c r="B5" s="95" t="n"/>
      <c r="C5" s="95" t="n"/>
      <c r="D5" s="95" t="n"/>
      <c r="E5" s="95" t="n"/>
      <c r="F5" s="95" t="n"/>
      <c r="G5" s="94" t="n"/>
      <c r="H5" s="94" t="n"/>
      <c r="I5" s="95" t="n"/>
      <c r="J5" s="94" t="n"/>
      <c r="K5" s="94" t="n"/>
      <c r="L5" s="94" t="n"/>
    </row>
    <row r="6">
      <c r="A6" s="94" t="n"/>
      <c r="B6" s="95" t="n"/>
      <c r="C6" s="95" t="n"/>
      <c r="D6" s="95" t="n"/>
      <c r="E6" s="95" t="n"/>
      <c r="F6" s="95" t="n"/>
      <c r="G6" s="94" t="n"/>
      <c r="H6" s="94" t="n"/>
      <c r="I6" s="95" t="n"/>
      <c r="J6" s="94" t="n"/>
      <c r="K6" s="94" t="n"/>
      <c r="L6" s="94" t="n"/>
    </row>
    <row r="7">
      <c r="A7" s="94" t="n"/>
      <c r="B7" s="95" t="n"/>
      <c r="C7" s="95" t="n"/>
      <c r="D7" s="95" t="n"/>
      <c r="E7" s="95" t="n"/>
      <c r="F7" s="95" t="n"/>
      <c r="G7" s="94" t="n"/>
      <c r="H7" s="94" t="n"/>
      <c r="I7" s="95" t="n"/>
      <c r="J7" s="94" t="n"/>
      <c r="K7" s="94" t="n"/>
      <c r="L7" s="94" t="n"/>
    </row>
    <row r="8">
      <c r="A8" s="94" t="n"/>
      <c r="B8" s="95" t="n"/>
      <c r="C8" s="95" t="n"/>
      <c r="D8" s="95" t="n"/>
      <c r="E8" s="95" t="n"/>
      <c r="F8" s="95" t="n"/>
      <c r="G8" s="94" t="n"/>
      <c r="H8" s="94" t="n"/>
      <c r="I8" s="95" t="n"/>
      <c r="J8" s="94" t="n"/>
      <c r="K8" s="94" t="n"/>
      <c r="L8" s="94" t="n"/>
    </row>
    <row r="9">
      <c r="A9" s="94" t="n"/>
      <c r="B9" s="95" t="n"/>
      <c r="C9" s="95" t="n"/>
      <c r="D9" s="95" t="n"/>
      <c r="E9" s="95" t="n"/>
      <c r="F9" s="95" t="n"/>
      <c r="G9" s="94" t="n"/>
      <c r="H9" s="94" t="n"/>
      <c r="I9" s="95" t="n"/>
      <c r="J9" s="94" t="n"/>
      <c r="K9" s="94" t="n"/>
      <c r="L9" s="94" t="n"/>
    </row>
    <row r="10">
      <c r="A10" s="94" t="n"/>
      <c r="B10" s="95" t="n"/>
      <c r="C10" s="95" t="n"/>
      <c r="D10" s="95" t="n"/>
      <c r="E10" s="95" t="n"/>
      <c r="F10" s="95" t="n"/>
      <c r="G10" s="94" t="n"/>
      <c r="H10" s="94" t="n"/>
      <c r="I10" s="95" t="n"/>
      <c r="J10" s="94" t="n"/>
      <c r="K10" s="94" t="n"/>
      <c r="L10" s="94" t="n"/>
    </row>
    <row r="11">
      <c r="A11" s="94" t="n"/>
      <c r="B11" s="95" t="n"/>
      <c r="C11" s="95" t="n"/>
      <c r="D11" s="95" t="n"/>
      <c r="E11" s="95" t="n"/>
      <c r="F11" s="95" t="n"/>
      <c r="G11" s="94" t="n"/>
      <c r="H11" s="94" t="n"/>
      <c r="I11" s="95" t="n"/>
      <c r="J11" s="94" t="n"/>
      <c r="K11" s="94" t="n"/>
      <c r="L11" s="94" t="n"/>
    </row>
    <row r="12">
      <c r="A12" s="94" t="n"/>
      <c r="B12" s="95" t="n"/>
      <c r="C12" s="95" t="n"/>
      <c r="D12" s="95" t="n"/>
      <c r="E12" s="95" t="n"/>
      <c r="F12" s="95" t="n"/>
      <c r="G12" s="94" t="n"/>
      <c r="H12" s="94" t="n"/>
      <c r="I12" s="95" t="n"/>
      <c r="J12" s="94" t="n"/>
      <c r="K12" s="94" t="n"/>
      <c r="L12" s="94" t="n"/>
    </row>
    <row r="13">
      <c r="A13" s="94" t="n"/>
      <c r="B13" s="95" t="n"/>
      <c r="C13" s="95" t="n"/>
      <c r="D13" s="95" t="n"/>
      <c r="E13" s="95" t="n"/>
      <c r="F13" s="95" t="n"/>
      <c r="G13" s="94" t="n"/>
      <c r="H13" s="94" t="n"/>
      <c r="I13" s="95" t="n"/>
      <c r="J13" s="94" t="n"/>
      <c r="K13" s="94" t="n"/>
      <c r="L13" s="94" t="n"/>
    </row>
    <row r="14">
      <c r="A14" s="94" t="n"/>
      <c r="B14" s="95" t="n"/>
      <c r="C14" s="95" t="n"/>
      <c r="D14" s="95" t="n"/>
      <c r="E14" s="95" t="n"/>
      <c r="F14" s="95" t="n"/>
      <c r="G14" s="94" t="n"/>
      <c r="H14" s="94" t="n"/>
      <c r="I14" s="95" t="n"/>
      <c r="J14" s="94" t="n"/>
      <c r="K14" s="94" t="n"/>
      <c r="L14" s="94" t="n"/>
    </row>
    <row r="15">
      <c r="A15" s="94" t="n"/>
      <c r="B15" s="95" t="n"/>
      <c r="C15" s="95" t="n"/>
      <c r="D15" s="95" t="n"/>
      <c r="E15" s="95" t="n"/>
      <c r="F15" s="95" t="n"/>
      <c r="G15" s="94" t="n"/>
      <c r="H15" s="94" t="n"/>
      <c r="I15" s="95" t="n"/>
      <c r="J15" s="94" t="n"/>
      <c r="K15" s="94" t="n"/>
      <c r="L15" s="94" t="n"/>
    </row>
    <row r="16">
      <c r="A16" s="94" t="n"/>
      <c r="B16" s="95" t="n"/>
      <c r="C16" s="95" t="n"/>
      <c r="D16" s="95" t="n"/>
      <c r="E16" s="95" t="n"/>
      <c r="F16" s="95" t="n"/>
      <c r="G16" s="94" t="n"/>
      <c r="H16" s="94" t="n"/>
      <c r="I16" s="95" t="n"/>
      <c r="J16" s="94" t="n"/>
      <c r="K16" s="94" t="n"/>
      <c r="L16" s="94" t="n"/>
    </row>
    <row r="17">
      <c r="A17" s="94" t="n"/>
      <c r="B17" s="95" t="n"/>
      <c r="C17" s="95" t="n"/>
      <c r="D17" s="95" t="n"/>
      <c r="E17" s="95" t="n"/>
      <c r="F17" s="95" t="n"/>
      <c r="G17" s="94" t="n"/>
      <c r="H17" s="94" t="n"/>
      <c r="I17" s="95" t="n"/>
      <c r="J17" s="94" t="n"/>
      <c r="K17" s="94" t="n"/>
      <c r="L17" s="94" t="n"/>
    </row>
    <row r="18">
      <c r="A18" s="94" t="n"/>
      <c r="B18" s="95" t="n"/>
      <c r="C18" s="95" t="n"/>
      <c r="D18" s="95" t="n"/>
      <c r="E18" s="95" t="n"/>
      <c r="F18" s="95" t="n"/>
      <c r="G18" s="94" t="n"/>
      <c r="H18" s="94" t="n"/>
      <c r="I18" s="95" t="n"/>
      <c r="J18" s="94" t="n"/>
      <c r="K18" s="94" t="n"/>
      <c r="L18" s="94" t="n"/>
    </row>
    <row r="19">
      <c r="A19" s="94" t="n"/>
      <c r="B19" s="95" t="n"/>
      <c r="C19" s="95" t="n"/>
      <c r="D19" s="95" t="n"/>
      <c r="E19" s="95" t="n"/>
      <c r="F19" s="95" t="n"/>
      <c r="G19" s="94" t="n"/>
      <c r="H19" s="94" t="n"/>
      <c r="I19" s="95" t="n"/>
      <c r="J19" s="94" t="n"/>
      <c r="K19" s="94" t="n"/>
      <c r="L19" s="94" t="n"/>
    </row>
    <row r="20">
      <c r="A20" s="94" t="n"/>
      <c r="B20" s="95" t="n"/>
      <c r="C20" s="95" t="n"/>
      <c r="D20" s="95" t="n"/>
      <c r="E20" s="95" t="n"/>
      <c r="F20" s="95" t="n"/>
      <c r="G20" s="94" t="n"/>
      <c r="H20" s="94" t="n"/>
      <c r="I20" s="95" t="n"/>
      <c r="J20" s="94" t="n"/>
      <c r="K20" s="94" t="n"/>
      <c r="L20" s="94" t="n"/>
    </row>
    <row r="21">
      <c r="A21" s="94" t="n"/>
      <c r="B21" s="95" t="n"/>
      <c r="C21" s="95" t="n"/>
      <c r="D21" s="95" t="n"/>
      <c r="E21" s="95" t="n"/>
      <c r="F21" s="95" t="n"/>
      <c r="G21" s="94" t="n"/>
      <c r="H21" s="94" t="n"/>
      <c r="I21" s="95" t="n"/>
      <c r="J21" s="94" t="n"/>
      <c r="K21" s="94" t="n"/>
      <c r="L21" s="94" t="n"/>
    </row>
    <row r="22">
      <c r="A22" s="94" t="n"/>
      <c r="B22" s="95" t="n"/>
      <c r="C22" s="95" t="n"/>
      <c r="D22" s="95" t="n"/>
      <c r="E22" s="95" t="n"/>
      <c r="F22" s="95" t="n"/>
      <c r="G22" s="94" t="n"/>
      <c r="H22" s="94" t="n"/>
      <c r="I22" s="95" t="n"/>
      <c r="J22" s="94" t="n"/>
      <c r="K22" s="94" t="n"/>
      <c r="L22" s="94" t="n"/>
    </row>
    <row r="23">
      <c r="A23" s="94" t="n"/>
      <c r="B23" s="95" t="n"/>
      <c r="C23" s="95" t="n"/>
      <c r="D23" s="95" t="n"/>
      <c r="E23" s="95" t="n"/>
      <c r="F23" s="95" t="n"/>
      <c r="G23" s="94" t="n"/>
      <c r="H23" s="94" t="n"/>
      <c r="I23" s="95" t="n"/>
      <c r="J23" s="94" t="n"/>
      <c r="K23" s="94" t="n"/>
      <c r="L23" s="94" t="n"/>
    </row>
    <row r="24">
      <c r="A24" s="94" t="n"/>
      <c r="B24" s="95" t="n"/>
      <c r="C24" s="95" t="n"/>
      <c r="D24" s="95" t="n"/>
      <c r="E24" s="95" t="n"/>
      <c r="F24" s="95" t="n"/>
      <c r="G24" s="94" t="n"/>
      <c r="H24" s="94" t="n"/>
      <c r="I24" s="95" t="n"/>
      <c r="J24" s="94" t="n"/>
      <c r="K24" s="94" t="n"/>
      <c r="L24" s="94" t="n"/>
    </row>
    <row r="25">
      <c r="A25" s="94" t="n"/>
      <c r="B25" s="95" t="n"/>
      <c r="C25" s="95" t="n"/>
      <c r="D25" s="95" t="n"/>
      <c r="E25" s="95" t="n"/>
      <c r="F25" s="95" t="n"/>
      <c r="G25" s="94" t="n"/>
      <c r="H25" s="94" t="n"/>
      <c r="I25" s="95" t="n"/>
      <c r="J25" s="94" t="n"/>
      <c r="K25" s="94" t="n"/>
      <c r="L25" s="94" t="n"/>
    </row>
    <row r="26">
      <c r="A26" s="94" t="n"/>
      <c r="B26" s="95" t="n"/>
      <c r="C26" s="95" t="n"/>
      <c r="D26" s="95" t="n"/>
      <c r="E26" s="95" t="n"/>
      <c r="F26" s="95" t="n"/>
      <c r="G26" s="94" t="n"/>
      <c r="H26" s="94" t="n"/>
      <c r="I26" s="95" t="n"/>
      <c r="J26" s="94" t="n"/>
      <c r="K26" s="94" t="n"/>
      <c r="L26" s="94" t="n"/>
    </row>
    <row r="27">
      <c r="A27" s="94" t="n"/>
      <c r="B27" s="95" t="n"/>
      <c r="C27" s="95" t="n"/>
      <c r="D27" s="95" t="n"/>
      <c r="E27" s="95" t="n"/>
      <c r="F27" s="95" t="n"/>
      <c r="G27" s="94" t="n"/>
      <c r="H27" s="94" t="n"/>
      <c r="I27" s="95" t="n"/>
      <c r="J27" s="94" t="n"/>
      <c r="K27" s="94" t="n"/>
      <c r="L27" s="94" t="n"/>
    </row>
    <row r="28">
      <c r="A28" s="94" t="n"/>
      <c r="B28" s="95" t="n"/>
      <c r="C28" s="95" t="n"/>
      <c r="D28" s="95" t="n"/>
      <c r="E28" s="95" t="n"/>
      <c r="F28" s="95" t="n"/>
      <c r="G28" s="94" t="n"/>
      <c r="H28" s="94" t="n"/>
      <c r="I28" s="95" t="n"/>
      <c r="J28" s="94" t="n"/>
      <c r="K28" s="94" t="n"/>
      <c r="L28" s="94" t="n"/>
    </row>
    <row r="29">
      <c r="A29" s="94" t="n"/>
      <c r="B29" s="95" t="n"/>
      <c r="C29" s="95" t="n"/>
      <c r="D29" s="95" t="n"/>
      <c r="E29" s="95" t="n"/>
      <c r="F29" s="95" t="n"/>
      <c r="G29" s="94" t="n"/>
      <c r="H29" s="94" t="n"/>
      <c r="I29" s="95" t="n"/>
      <c r="J29" s="94" t="n"/>
      <c r="K29" s="94" t="n"/>
      <c r="L29" s="94" t="n"/>
    </row>
    <row r="30">
      <c r="A30" s="94" t="n"/>
      <c r="B30" s="95" t="n"/>
      <c r="C30" s="95" t="n"/>
      <c r="D30" s="95" t="n"/>
      <c r="E30" s="95" t="n"/>
      <c r="F30" s="95" t="n"/>
      <c r="G30" s="94" t="n"/>
      <c r="H30" s="94" t="n"/>
      <c r="I30" s="95" t="n"/>
      <c r="J30" s="94" t="n"/>
      <c r="K30" s="94" t="n"/>
      <c r="L30" s="94" t="n"/>
    </row>
    <row r="31">
      <c r="A31" s="94" t="n"/>
      <c r="B31" s="95" t="n"/>
      <c r="C31" s="95" t="n"/>
      <c r="D31" s="95" t="n"/>
      <c r="E31" s="95" t="n"/>
      <c r="F31" s="95" t="n"/>
      <c r="G31" s="94" t="n"/>
      <c r="H31" s="94" t="n"/>
      <c r="I31" s="95" t="n"/>
      <c r="J31" s="94" t="n"/>
      <c r="K31" s="94" t="n"/>
      <c r="L31" s="94" t="n"/>
    </row>
    <row r="32">
      <c r="A32" s="94" t="n"/>
      <c r="B32" s="95" t="n"/>
      <c r="C32" s="95" t="n"/>
      <c r="D32" s="95" t="n"/>
      <c r="E32" s="95" t="n"/>
      <c r="F32" s="95" t="n"/>
      <c r="G32" s="94" t="n"/>
      <c r="H32" s="94" t="n"/>
      <c r="I32" s="95" t="n"/>
      <c r="J32" s="94" t="n"/>
      <c r="K32" s="94" t="n"/>
      <c r="L32" s="94" t="n"/>
    </row>
    <row r="33">
      <c r="A33" s="94" t="n"/>
      <c r="B33" s="95" t="n"/>
      <c r="C33" s="95" t="n"/>
      <c r="D33" s="95" t="n"/>
      <c r="E33" s="95" t="n"/>
      <c r="F33" s="95" t="n"/>
      <c r="G33" s="94" t="n"/>
      <c r="H33" s="94" t="n"/>
      <c r="I33" s="95" t="n"/>
      <c r="J33" s="94" t="n"/>
      <c r="K33" s="94" t="n"/>
      <c r="L33" s="94" t="n"/>
    </row>
    <row r="34">
      <c r="A34" s="94" t="n"/>
      <c r="B34" s="95" t="n"/>
      <c r="C34" s="95" t="n"/>
      <c r="D34" s="95" t="n"/>
      <c r="E34" s="95" t="n"/>
      <c r="F34" s="95" t="n"/>
      <c r="G34" s="94" t="n"/>
      <c r="H34" s="94" t="n"/>
      <c r="I34" s="95" t="n"/>
      <c r="J34" s="94" t="n"/>
      <c r="K34" s="94" t="n"/>
      <c r="L34" s="94" t="n"/>
    </row>
    <row r="35">
      <c r="A35" s="94" t="n"/>
      <c r="B35" s="95" t="n"/>
      <c r="C35" s="95" t="n"/>
      <c r="D35" s="95" t="n"/>
      <c r="E35" s="95" t="n"/>
      <c r="F35" s="95" t="n"/>
      <c r="G35" s="94" t="n"/>
      <c r="H35" s="94" t="n"/>
      <c r="I35" s="95" t="n"/>
      <c r="J35" s="94" t="n"/>
      <c r="K35" s="94" t="n"/>
      <c r="L35" s="94" t="n"/>
    </row>
    <row r="36">
      <c r="A36" s="94" t="n"/>
      <c r="B36" s="95" t="n"/>
      <c r="C36" s="95" t="n"/>
      <c r="D36" s="95" t="n"/>
      <c r="E36" s="95" t="n"/>
      <c r="F36" s="95" t="n"/>
      <c r="G36" s="94" t="n"/>
      <c r="H36" s="94" t="n"/>
      <c r="I36" s="95" t="n"/>
      <c r="J36" s="94" t="n"/>
      <c r="K36" s="94" t="n"/>
      <c r="L36" s="94" t="n"/>
    </row>
    <row r="37">
      <c r="A37" s="94" t="n"/>
      <c r="B37" s="95" t="n"/>
      <c r="C37" s="95" t="n"/>
      <c r="D37" s="95" t="n"/>
      <c r="E37" s="95" t="n"/>
      <c r="F37" s="95" t="n"/>
      <c r="G37" s="94" t="n"/>
      <c r="H37" s="94" t="n"/>
      <c r="I37" s="95" t="n"/>
      <c r="J37" s="94" t="n"/>
      <c r="K37" s="94" t="n"/>
      <c r="L37" s="94" t="n"/>
    </row>
    <row r="38">
      <c r="A38" s="94" t="n"/>
      <c r="B38" s="95" t="n"/>
      <c r="C38" s="95" t="n"/>
      <c r="D38" s="95" t="n"/>
      <c r="E38" s="95" t="n"/>
      <c r="F38" s="95" t="n"/>
      <c r="G38" s="94" t="n"/>
      <c r="H38" s="94" t="n"/>
      <c r="I38" s="95" t="n"/>
      <c r="J38" s="94" t="n"/>
      <c r="K38" s="94" t="n"/>
      <c r="L38" s="94" t="n"/>
    </row>
    <row r="39">
      <c r="A39" s="94" t="n"/>
      <c r="B39" s="95" t="n"/>
      <c r="C39" s="95" t="n"/>
      <c r="D39" s="95" t="n"/>
      <c r="E39" s="95" t="n"/>
      <c r="F39" s="95" t="n"/>
      <c r="G39" s="94" t="n"/>
      <c r="H39" s="94" t="n"/>
      <c r="I39" s="95" t="n"/>
      <c r="J39" s="94" t="n"/>
      <c r="K39" s="94" t="n"/>
      <c r="L39" s="94" t="n"/>
    </row>
    <row r="40">
      <c r="A40" s="94" t="n"/>
      <c r="B40" s="95" t="n"/>
      <c r="C40" s="95" t="n"/>
      <c r="D40" s="95" t="n"/>
      <c r="E40" s="95" t="n"/>
      <c r="F40" s="95" t="n"/>
      <c r="G40" s="94" t="n"/>
      <c r="H40" s="94" t="n"/>
      <c r="I40" s="95" t="n"/>
      <c r="J40" s="94" t="n"/>
      <c r="K40" s="94" t="n"/>
      <c r="L40" s="94" t="n"/>
    </row>
    <row r="41">
      <c r="A41" s="94" t="n"/>
      <c r="B41" s="95" t="n"/>
      <c r="C41" s="95" t="n"/>
      <c r="D41" s="95" t="n"/>
      <c r="E41" s="95" t="n"/>
      <c r="F41" s="95" t="n"/>
      <c r="G41" s="94" t="n"/>
      <c r="H41" s="94" t="n"/>
      <c r="I41" s="95" t="n"/>
      <c r="J41" s="94" t="n"/>
      <c r="K41" s="94" t="n"/>
      <c r="L41" s="94" t="n"/>
    </row>
    <row r="42">
      <c r="A42" s="94" t="n"/>
      <c r="B42" s="95" t="n"/>
      <c r="C42" s="95" t="n"/>
      <c r="D42" s="95" t="n"/>
      <c r="E42" s="95" t="n"/>
      <c r="F42" s="95" t="n"/>
      <c r="G42" s="94" t="n"/>
      <c r="H42" s="94" t="n"/>
      <c r="I42" s="95" t="n"/>
      <c r="J42" s="94" t="n"/>
      <c r="K42" s="94" t="n"/>
      <c r="L42" s="94" t="n"/>
    </row>
    <row r="43">
      <c r="A43" s="94" t="n"/>
      <c r="B43" s="95" t="n"/>
      <c r="C43" s="95" t="n"/>
      <c r="D43" s="95" t="n"/>
      <c r="E43" s="95" t="n"/>
      <c r="F43" s="95" t="n"/>
      <c r="G43" s="94" t="n"/>
      <c r="H43" s="94" t="n"/>
      <c r="I43" s="95" t="n"/>
      <c r="J43" s="94" t="n"/>
      <c r="K43" s="94" t="n"/>
      <c r="L43" s="94" t="n"/>
    </row>
    <row r="44">
      <c r="A44" s="94" t="n"/>
      <c r="B44" s="95" t="n"/>
      <c r="C44" s="95" t="n"/>
      <c r="D44" s="95" t="n"/>
      <c r="E44" s="95" t="n"/>
      <c r="F44" s="95" t="n"/>
      <c r="G44" s="94" t="n"/>
      <c r="H44" s="94" t="n"/>
      <c r="I44" s="95" t="n"/>
      <c r="J44" s="94" t="n"/>
      <c r="K44" s="94" t="n"/>
      <c r="L44" s="94" t="n"/>
    </row>
    <row r="45">
      <c r="A45" s="94" t="n"/>
      <c r="B45" s="95" t="n"/>
      <c r="C45" s="95" t="n"/>
      <c r="D45" s="95" t="n"/>
      <c r="E45" s="95" t="n"/>
      <c r="F45" s="95" t="n"/>
      <c r="G45" s="94" t="n"/>
      <c r="H45" s="94" t="n"/>
      <c r="I45" s="95" t="n"/>
      <c r="J45" s="94" t="n"/>
      <c r="K45" s="94" t="n"/>
      <c r="L45" s="94" t="n"/>
    </row>
    <row r="46">
      <c r="A46" s="94" t="n"/>
      <c r="B46" s="95" t="n"/>
      <c r="C46" s="95" t="n"/>
      <c r="D46" s="95" t="n"/>
      <c r="E46" s="95" t="n"/>
      <c r="F46" s="95" t="n"/>
      <c r="G46" s="94" t="n"/>
      <c r="H46" s="94" t="n"/>
      <c r="I46" s="95" t="n"/>
      <c r="J46" s="94" t="n"/>
      <c r="K46" s="94" t="n"/>
      <c r="L46" s="94" t="n"/>
    </row>
    <row r="47">
      <c r="A47" s="94" t="n"/>
      <c r="B47" s="95" t="n"/>
      <c r="C47" s="95" t="n"/>
      <c r="D47" s="95" t="n"/>
      <c r="E47" s="95" t="n"/>
      <c r="F47" s="95" t="n"/>
      <c r="G47" s="94" t="n"/>
      <c r="H47" s="94" t="n"/>
      <c r="I47" s="95" t="n"/>
      <c r="J47" s="94" t="n"/>
      <c r="K47" s="94" t="n"/>
      <c r="L47" s="94" t="n"/>
    </row>
    <row r="48">
      <c r="A48" s="94" t="n"/>
      <c r="B48" s="95" t="n"/>
      <c r="C48" s="95" t="n"/>
      <c r="D48" s="95" t="n"/>
      <c r="E48" s="95" t="n"/>
      <c r="F48" s="95" t="n"/>
      <c r="G48" s="94" t="n"/>
      <c r="H48" s="94" t="n"/>
      <c r="I48" s="95" t="n"/>
      <c r="J48" s="94" t="n"/>
      <c r="K48" s="94" t="n"/>
      <c r="L48" s="94" t="n"/>
    </row>
    <row r="49">
      <c r="A49" s="94" t="n"/>
      <c r="B49" s="95" t="n"/>
      <c r="C49" s="95" t="n"/>
      <c r="D49" s="95" t="n"/>
      <c r="E49" s="95" t="n"/>
      <c r="F49" s="95" t="n"/>
      <c r="G49" s="94" t="n"/>
      <c r="H49" s="94" t="n"/>
      <c r="I49" s="95" t="n"/>
      <c r="J49" s="94" t="n"/>
      <c r="K49" s="94" t="n"/>
      <c r="L49" s="94" t="n"/>
    </row>
    <row r="50">
      <c r="A50" s="94" t="n"/>
      <c r="B50" s="95" t="n"/>
      <c r="C50" s="95" t="n"/>
      <c r="D50" s="95" t="n"/>
      <c r="E50" s="95" t="n"/>
      <c r="F50" s="95" t="n"/>
      <c r="G50" s="94" t="n"/>
      <c r="H50" s="94" t="n"/>
      <c r="I50" s="95" t="n"/>
      <c r="J50" s="94" t="n"/>
      <c r="K50" s="94" t="n"/>
      <c r="L50" s="94" t="n"/>
    </row>
    <row r="51">
      <c r="A51" s="94" t="n"/>
      <c r="B51" s="95" t="n"/>
      <c r="C51" s="95" t="n"/>
      <c r="D51" s="95" t="n"/>
      <c r="E51" s="95" t="n"/>
      <c r="F51" s="95" t="n"/>
      <c r="G51" s="94" t="n"/>
      <c r="H51" s="94" t="n"/>
      <c r="I51" s="95" t="n"/>
      <c r="J51" s="94" t="n"/>
      <c r="K51" s="94" t="n"/>
      <c r="L51" s="94" t="n"/>
    </row>
    <row r="52">
      <c r="A52" s="94" t="n"/>
      <c r="B52" s="95" t="n"/>
      <c r="C52" s="95" t="n"/>
      <c r="D52" s="95" t="n"/>
      <c r="E52" s="95" t="n"/>
      <c r="F52" s="95" t="n"/>
      <c r="G52" s="94" t="n"/>
      <c r="H52" s="94" t="n"/>
      <c r="I52" s="95" t="n"/>
      <c r="J52" s="94" t="n"/>
      <c r="K52" s="94" t="n"/>
      <c r="L52" s="94" t="n"/>
    </row>
    <row r="53">
      <c r="A53" s="94" t="n"/>
      <c r="B53" s="95" t="n"/>
      <c r="C53" s="95" t="n"/>
      <c r="D53" s="95" t="n"/>
      <c r="E53" s="95" t="n"/>
      <c r="F53" s="95" t="n"/>
      <c r="G53" s="94" t="n"/>
      <c r="H53" s="94" t="n"/>
      <c r="I53" s="95" t="n"/>
      <c r="J53" s="94" t="n"/>
      <c r="K53" s="94" t="n"/>
      <c r="L53" s="94" t="n"/>
    </row>
    <row r="54">
      <c r="A54" s="94" t="n"/>
      <c r="B54" s="95" t="n"/>
      <c r="C54" s="95" t="n"/>
      <c r="D54" s="95" t="n"/>
      <c r="E54" s="95" t="n"/>
      <c r="F54" s="95" t="n"/>
      <c r="G54" s="94" t="n"/>
      <c r="H54" s="94" t="n"/>
      <c r="I54" s="95" t="n"/>
      <c r="J54" s="94" t="n"/>
      <c r="K54" s="94" t="n"/>
      <c r="L54" s="94" t="n"/>
    </row>
    <row r="55">
      <c r="A55" s="94" t="n"/>
      <c r="B55" s="95" t="n"/>
      <c r="C55" s="95" t="n"/>
      <c r="D55" s="95" t="n"/>
      <c r="E55" s="95" t="n"/>
      <c r="F55" s="95" t="n"/>
      <c r="G55" s="94" t="n"/>
      <c r="H55" s="94" t="n"/>
      <c r="I55" s="95" t="n"/>
      <c r="J55" s="94" t="n"/>
      <c r="K55" s="94" t="n"/>
      <c r="L55" s="94" t="n"/>
    </row>
    <row r="56">
      <c r="A56" s="94" t="n"/>
      <c r="B56" s="95" t="n"/>
      <c r="C56" s="95" t="n"/>
      <c r="D56" s="95" t="n"/>
      <c r="E56" s="95" t="n"/>
      <c r="F56" s="95" t="n"/>
      <c r="G56" s="94" t="n"/>
      <c r="H56" s="94" t="n"/>
      <c r="I56" s="95" t="n"/>
      <c r="J56" s="94" t="n"/>
      <c r="K56" s="94" t="n"/>
      <c r="L56" s="94" t="n"/>
    </row>
    <row r="57">
      <c r="A57" s="94" t="n"/>
      <c r="B57" s="95" t="n"/>
      <c r="C57" s="95" t="n"/>
      <c r="D57" s="95" t="n"/>
      <c r="E57" s="95" t="n"/>
      <c r="F57" s="95" t="n"/>
      <c r="G57" s="94" t="n"/>
      <c r="H57" s="94" t="n"/>
      <c r="I57" s="95" t="n"/>
      <c r="J57" s="94" t="n"/>
      <c r="K57" s="94" t="n"/>
      <c r="L57" s="94" t="n"/>
    </row>
    <row r="58">
      <c r="A58" s="94" t="n"/>
      <c r="B58" s="95" t="n"/>
      <c r="C58" s="95" t="n"/>
      <c r="D58" s="95" t="n"/>
      <c r="E58" s="95" t="n"/>
      <c r="F58" s="95" t="n"/>
      <c r="G58" s="94" t="n"/>
      <c r="H58" s="94" t="n"/>
      <c r="I58" s="95" t="n"/>
      <c r="J58" s="94" t="n"/>
      <c r="K58" s="94" t="n"/>
      <c r="L58" s="94" t="n"/>
    </row>
    <row r="59">
      <c r="A59" s="94" t="n"/>
      <c r="B59" s="95" t="n"/>
      <c r="C59" s="95" t="n"/>
      <c r="D59" s="95" t="n"/>
      <c r="E59" s="95" t="n"/>
      <c r="F59" s="95" t="n"/>
      <c r="G59" s="94" t="n"/>
      <c r="H59" s="94" t="n"/>
      <c r="I59" s="95" t="n"/>
      <c r="J59" s="94" t="n"/>
      <c r="K59" s="94" t="n"/>
      <c r="L59" s="94" t="n"/>
    </row>
    <row r="60">
      <c r="A60" s="94" t="n"/>
      <c r="B60" s="95" t="n"/>
      <c r="C60" s="95" t="n"/>
      <c r="D60" s="95" t="n"/>
      <c r="E60" s="95" t="n"/>
      <c r="F60" s="95" t="n"/>
      <c r="G60" s="94" t="n"/>
      <c r="H60" s="94" t="n"/>
      <c r="I60" s="95" t="n"/>
      <c r="J60" s="94" t="n"/>
      <c r="K60" s="94" t="n"/>
      <c r="L60" s="94" t="n"/>
    </row>
    <row r="61">
      <c r="A61" s="94" t="n"/>
      <c r="B61" s="95" t="n"/>
      <c r="C61" s="95" t="n"/>
      <c r="D61" s="95" t="n"/>
      <c r="E61" s="95" t="n"/>
      <c r="F61" s="95" t="n"/>
      <c r="G61" s="94" t="n"/>
      <c r="H61" s="94" t="n"/>
      <c r="I61" s="95" t="n"/>
      <c r="J61" s="94" t="n"/>
      <c r="K61" s="94" t="n"/>
      <c r="L61" s="94" t="n"/>
    </row>
    <row r="62">
      <c r="A62" s="94" t="n"/>
      <c r="B62" s="95" t="n"/>
      <c r="C62" s="95" t="n"/>
      <c r="D62" s="95" t="n"/>
      <c r="E62" s="95" t="n"/>
      <c r="F62" s="95" t="n"/>
      <c r="G62" s="94" t="n"/>
      <c r="H62" s="94" t="n"/>
      <c r="I62" s="95" t="n"/>
      <c r="J62" s="94" t="n"/>
      <c r="K62" s="94" t="n"/>
      <c r="L62" s="94" t="n"/>
    </row>
    <row r="63">
      <c r="A63" s="94" t="n"/>
      <c r="B63" s="95" t="n"/>
      <c r="C63" s="95" t="n"/>
      <c r="D63" s="95" t="n"/>
      <c r="E63" s="95" t="n"/>
      <c r="F63" s="95" t="n"/>
      <c r="G63" s="94" t="n"/>
      <c r="H63" s="94" t="n"/>
      <c r="I63" s="95" t="n"/>
      <c r="J63" s="94" t="n"/>
      <c r="K63" s="94" t="n"/>
      <c r="L63" s="94" t="n"/>
    </row>
    <row r="64">
      <c r="A64" s="94" t="n"/>
      <c r="B64" s="95" t="n"/>
      <c r="C64" s="95" t="n"/>
      <c r="D64" s="95" t="n"/>
      <c r="E64" s="95" t="n"/>
      <c r="F64" s="95" t="n"/>
      <c r="G64" s="94" t="n"/>
      <c r="H64" s="94" t="n"/>
      <c r="I64" s="95" t="n"/>
      <c r="J64" s="94" t="n"/>
      <c r="K64" s="94" t="n"/>
      <c r="L64" s="94" t="n"/>
    </row>
    <row r="65">
      <c r="A65" s="94" t="n"/>
      <c r="B65" s="95" t="n"/>
      <c r="C65" s="95" t="n"/>
      <c r="D65" s="95" t="n"/>
      <c r="E65" s="95" t="n"/>
      <c r="F65" s="95" t="n"/>
      <c r="G65" s="94" t="n"/>
      <c r="H65" s="94" t="n"/>
      <c r="I65" s="95" t="n"/>
      <c r="J65" s="94" t="n"/>
      <c r="K65" s="94" t="n"/>
      <c r="L65" s="94" t="n"/>
    </row>
    <row r="66">
      <c r="A66" s="94" t="n"/>
      <c r="B66" s="95" t="n"/>
      <c r="C66" s="95" t="n"/>
      <c r="D66" s="95" t="n"/>
      <c r="E66" s="95" t="n"/>
      <c r="F66" s="95" t="n"/>
      <c r="G66" s="94" t="n"/>
      <c r="H66" s="94" t="n"/>
      <c r="I66" s="95" t="n"/>
      <c r="J66" s="94" t="n"/>
      <c r="K66" s="94" t="n"/>
      <c r="L66" s="94" t="n"/>
    </row>
    <row r="67">
      <c r="A67" s="94" t="n"/>
      <c r="B67" s="95" t="n"/>
      <c r="C67" s="95" t="n"/>
      <c r="D67" s="95" t="n"/>
      <c r="E67" s="95" t="n"/>
      <c r="F67" s="95" t="n"/>
      <c r="G67" s="94" t="n"/>
      <c r="H67" s="94" t="n"/>
      <c r="I67" s="95" t="n"/>
      <c r="J67" s="94" t="n"/>
      <c r="K67" s="94" t="n"/>
      <c r="L67" s="94" t="n"/>
    </row>
    <row r="68">
      <c r="A68" s="94" t="n"/>
      <c r="B68" s="95" t="n"/>
      <c r="C68" s="95" t="n"/>
      <c r="D68" s="95" t="n"/>
      <c r="E68" s="95" t="n"/>
      <c r="F68" s="95" t="n"/>
      <c r="G68" s="94" t="n"/>
      <c r="H68" s="94" t="n"/>
      <c r="I68" s="95" t="n"/>
      <c r="J68" s="94" t="n"/>
      <c r="K68" s="94" t="n"/>
      <c r="L68" s="94" t="n"/>
    </row>
    <row r="69">
      <c r="A69" s="94" t="n"/>
      <c r="B69" s="95" t="n"/>
      <c r="C69" s="95" t="n"/>
      <c r="D69" s="95" t="n"/>
      <c r="E69" s="95" t="n"/>
      <c r="F69" s="95" t="n"/>
      <c r="G69" s="94" t="n"/>
      <c r="H69" s="94" t="n"/>
      <c r="I69" s="95" t="n"/>
      <c r="J69" s="94" t="n"/>
      <c r="K69" s="94" t="n"/>
      <c r="L69" s="94" t="n"/>
    </row>
    <row r="70">
      <c r="A70" s="94" t="n"/>
      <c r="B70" s="95" t="n"/>
      <c r="C70" s="95" t="n"/>
      <c r="D70" s="95" t="n"/>
      <c r="E70" s="95" t="n"/>
      <c r="F70" s="95" t="n"/>
      <c r="G70" s="94" t="n"/>
      <c r="H70" s="94" t="n"/>
      <c r="I70" s="95" t="n"/>
      <c r="J70" s="94" t="n"/>
      <c r="K70" s="94" t="n"/>
      <c r="L70" s="94" t="n"/>
    </row>
    <row r="71">
      <c r="A71" s="94" t="n"/>
      <c r="B71" s="95" t="n"/>
      <c r="C71" s="95" t="n"/>
      <c r="D71" s="95" t="n"/>
      <c r="E71" s="95" t="n"/>
      <c r="F71" s="95" t="n"/>
      <c r="G71" s="94" t="n"/>
      <c r="H71" s="94" t="n"/>
      <c r="I71" s="95" t="n"/>
      <c r="J71" s="94" t="n"/>
      <c r="K71" s="94" t="n"/>
      <c r="L71" s="94" t="n"/>
    </row>
    <row r="72">
      <c r="A72" s="94" t="n"/>
      <c r="B72" s="95" t="n"/>
      <c r="C72" s="95" t="n"/>
      <c r="D72" s="95" t="n"/>
      <c r="E72" s="95" t="n"/>
      <c r="F72" s="95" t="n"/>
      <c r="G72" s="94" t="n"/>
      <c r="H72" s="94" t="n"/>
      <c r="I72" s="95" t="n"/>
      <c r="J72" s="94" t="n"/>
      <c r="K72" s="94" t="n"/>
      <c r="L72" s="94" t="n"/>
    </row>
    <row r="73">
      <c r="A73" s="94" t="n"/>
      <c r="B73" s="95" t="n"/>
      <c r="C73" s="95" t="n"/>
      <c r="D73" s="95" t="n"/>
      <c r="E73" s="95" t="n"/>
      <c r="F73" s="95" t="n"/>
      <c r="G73" s="94" t="n"/>
      <c r="H73" s="94" t="n"/>
      <c r="I73" s="95" t="n"/>
      <c r="J73" s="94" t="n"/>
      <c r="K73" s="94" t="n"/>
      <c r="L73" s="94" t="n"/>
    </row>
    <row r="74">
      <c r="A74" s="94" t="n"/>
      <c r="B74" s="95" t="n"/>
      <c r="C74" s="95" t="n"/>
      <c r="D74" s="95" t="n"/>
      <c r="E74" s="95" t="n"/>
      <c r="F74" s="95" t="n"/>
      <c r="G74" s="94" t="n"/>
      <c r="H74" s="94" t="n"/>
      <c r="I74" s="95" t="n"/>
      <c r="J74" s="94" t="n"/>
      <c r="K74" s="94" t="n"/>
      <c r="L74" s="94" t="n"/>
    </row>
    <row r="75">
      <c r="A75" s="94" t="n"/>
      <c r="B75" s="95" t="n"/>
      <c r="C75" s="95" t="n"/>
      <c r="D75" s="95" t="n"/>
      <c r="E75" s="95" t="n"/>
      <c r="F75" s="95" t="n"/>
      <c r="G75" s="94" t="n"/>
      <c r="H75" s="94" t="n"/>
      <c r="I75" s="95" t="n"/>
      <c r="J75" s="94" t="n"/>
      <c r="K75" s="94" t="n"/>
      <c r="L75" s="94" t="n"/>
    </row>
    <row r="76">
      <c r="A76" s="94" t="n"/>
      <c r="B76" s="95" t="n"/>
      <c r="C76" s="95" t="n"/>
      <c r="D76" s="95" t="n"/>
      <c r="E76" s="95" t="n"/>
      <c r="F76" s="95" t="n"/>
      <c r="G76" s="94" t="n"/>
      <c r="H76" s="94" t="n"/>
      <c r="I76" s="95" t="n"/>
      <c r="J76" s="94" t="n"/>
      <c r="K76" s="94" t="n"/>
      <c r="L76" s="94" t="n"/>
    </row>
    <row r="77">
      <c r="A77" s="94" t="n"/>
      <c r="B77" s="95" t="n"/>
      <c r="C77" s="95" t="n"/>
      <c r="D77" s="95" t="n"/>
      <c r="E77" s="95" t="n"/>
      <c r="F77" s="95" t="n"/>
      <c r="G77" s="94" t="n"/>
      <c r="H77" s="94" t="n"/>
      <c r="I77" s="95" t="n"/>
      <c r="J77" s="94" t="n"/>
      <c r="K77" s="94" t="n"/>
      <c r="L77" s="94" t="n"/>
    </row>
    <row r="78">
      <c r="A78" s="94" t="n"/>
      <c r="B78" s="95" t="n"/>
      <c r="C78" s="95" t="n"/>
      <c r="D78" s="95" t="n"/>
      <c r="E78" s="95" t="n"/>
      <c r="F78" s="95" t="n"/>
      <c r="G78" s="94" t="n"/>
      <c r="H78" s="94" t="n"/>
      <c r="I78" s="95" t="n"/>
      <c r="J78" s="94" t="n"/>
      <c r="K78" s="94" t="n"/>
      <c r="L78" s="94" t="n"/>
    </row>
    <row r="79">
      <c r="A79" s="94" t="n"/>
      <c r="B79" s="95" t="n"/>
      <c r="C79" s="95" t="n"/>
      <c r="D79" s="95" t="n"/>
      <c r="E79" s="95" t="n"/>
      <c r="F79" s="95" t="n"/>
      <c r="G79" s="94" t="n"/>
      <c r="H79" s="94" t="n"/>
      <c r="I79" s="95" t="n"/>
      <c r="J79" s="94" t="n"/>
      <c r="K79" s="94" t="n"/>
      <c r="L79" s="94" t="n"/>
    </row>
    <row r="80">
      <c r="A80" s="94" t="n"/>
      <c r="B80" s="95" t="n"/>
      <c r="C80" s="95" t="n"/>
      <c r="D80" s="95" t="n"/>
      <c r="E80" s="95" t="n"/>
      <c r="F80" s="95" t="n"/>
      <c r="G80" s="94" t="n"/>
      <c r="H80" s="94" t="n"/>
      <c r="I80" s="95" t="n"/>
      <c r="J80" s="94" t="n"/>
      <c r="K80" s="94" t="n"/>
      <c r="L80" s="94" t="n"/>
    </row>
    <row r="81">
      <c r="A81" s="94" t="n"/>
      <c r="B81" s="95" t="n"/>
      <c r="C81" s="95" t="n"/>
      <c r="D81" s="95" t="n"/>
      <c r="E81" s="95" t="n"/>
      <c r="F81" s="95" t="n"/>
      <c r="G81" s="94" t="n"/>
      <c r="H81" s="94" t="n"/>
      <c r="I81" s="95" t="n"/>
      <c r="J81" s="94" t="n"/>
      <c r="K81" s="94" t="n"/>
      <c r="L81" s="94" t="n"/>
    </row>
    <row r="82">
      <c r="A82" s="94" t="n"/>
      <c r="B82" s="95" t="n"/>
      <c r="C82" s="95" t="n"/>
      <c r="D82" s="95" t="n"/>
      <c r="E82" s="95" t="n"/>
      <c r="F82" s="95" t="n"/>
      <c r="G82" s="94" t="n"/>
      <c r="H82" s="94" t="n"/>
      <c r="I82" s="95" t="n"/>
      <c r="J82" s="94" t="n"/>
      <c r="K82" s="94" t="n"/>
      <c r="L82" s="94" t="n"/>
    </row>
    <row r="83">
      <c r="A83" s="94" t="n"/>
      <c r="B83" s="95" t="n"/>
      <c r="C83" s="95" t="n"/>
      <c r="D83" s="95" t="n"/>
      <c r="E83" s="95" t="n"/>
      <c r="F83" s="95" t="n"/>
      <c r="G83" s="94" t="n"/>
      <c r="H83" s="94" t="n"/>
      <c r="I83" s="95" t="n"/>
      <c r="J83" s="94" t="n"/>
      <c r="K83" s="94" t="n"/>
      <c r="L83" s="94" t="n"/>
    </row>
    <row r="84">
      <c r="A84" s="94" t="n"/>
      <c r="B84" s="95" t="n"/>
      <c r="C84" s="95" t="n"/>
      <c r="D84" s="95" t="n"/>
      <c r="E84" s="95" t="n"/>
      <c r="F84" s="95" t="n"/>
      <c r="G84" s="94" t="n"/>
      <c r="H84" s="94" t="n"/>
      <c r="I84" s="95" t="n"/>
      <c r="J84" s="94" t="n"/>
      <c r="K84" s="94" t="n"/>
      <c r="L84" s="94" t="n"/>
    </row>
    <row r="85">
      <c r="A85" s="94" t="n"/>
      <c r="B85" s="95" t="n"/>
      <c r="C85" s="95" t="n"/>
      <c r="D85" s="95" t="n"/>
      <c r="E85" s="95" t="n"/>
      <c r="F85" s="95" t="n"/>
      <c r="G85" s="94" t="n"/>
      <c r="H85" s="94" t="n"/>
      <c r="I85" s="95" t="n"/>
      <c r="J85" s="94" t="n"/>
      <c r="K85" s="94" t="n"/>
      <c r="L85" s="94" t="n"/>
    </row>
    <row r="86">
      <c r="A86" s="94" t="n"/>
      <c r="B86" s="95" t="n"/>
      <c r="C86" s="95" t="n"/>
      <c r="D86" s="95" t="n"/>
      <c r="E86" s="95" t="n"/>
      <c r="F86" s="95" t="n"/>
      <c r="G86" s="94" t="n"/>
      <c r="H86" s="94" t="n"/>
      <c r="I86" s="95" t="n"/>
      <c r="J86" s="94" t="n"/>
      <c r="K86" s="94" t="n"/>
      <c r="L86" s="94" t="n"/>
    </row>
    <row r="87">
      <c r="A87" s="94" t="n"/>
      <c r="B87" s="95" t="n"/>
      <c r="C87" s="95" t="n"/>
      <c r="D87" s="95" t="n"/>
      <c r="E87" s="95" t="n"/>
      <c r="F87" s="95" t="n"/>
      <c r="G87" s="94" t="n"/>
      <c r="H87" s="94" t="n"/>
      <c r="I87" s="95" t="n"/>
      <c r="J87" s="94" t="n"/>
      <c r="K87" s="94" t="n"/>
      <c r="L87" s="94" t="n"/>
    </row>
    <row r="88">
      <c r="A88" s="94" t="n"/>
      <c r="B88" s="95" t="n"/>
      <c r="C88" s="95" t="n"/>
      <c r="D88" s="95" t="n"/>
      <c r="E88" s="95" t="n"/>
      <c r="F88" s="95" t="n"/>
      <c r="G88" s="94" t="n"/>
      <c r="H88" s="94" t="n"/>
      <c r="I88" s="95" t="n"/>
      <c r="J88" s="94" t="n"/>
      <c r="K88" s="94" t="n"/>
      <c r="L88" s="94" t="n"/>
    </row>
    <row r="89">
      <c r="A89" s="94" t="n"/>
      <c r="B89" s="95" t="n"/>
      <c r="C89" s="95" t="n"/>
      <c r="D89" s="95" t="n"/>
      <c r="E89" s="95" t="n"/>
      <c r="F89" s="95" t="n"/>
      <c r="G89" s="94" t="n"/>
      <c r="H89" s="94" t="n"/>
      <c r="I89" s="95" t="n"/>
      <c r="J89" s="94" t="n"/>
      <c r="K89" s="94" t="n"/>
      <c r="L89" s="9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1:L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Workbench test suite</dc:creator>
  <dc:title>Synthetic source workbook fixture</dc:title>
  <dcterms:created xsi:type="dcterms:W3CDTF">2026-09-17T08:48:26Z</dcterms:created>
  <dcterms:modified xsi:type="dcterms:W3CDTF">2026-09-17T08:50:02Z</dcterms:modified>
  <cp:keywords>system1-browser-workbench;system1-browser-guide-v1</cp:keywords>
</cp:coreProperties>
</file>